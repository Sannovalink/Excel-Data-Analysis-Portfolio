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70" firstSheet="3" activeTab="4"/>
  </bookViews>
  <sheets>
    <sheet name="Sheet2" sheetId="4" state="hidden" r:id="rId1"/>
    <sheet name="Sheet3" sheetId="5" state="hidden" r:id="rId2"/>
    <sheet name="Sheet5" sheetId="7" state="hidden" r:id="rId3"/>
    <sheet name="Dashboard" sheetId="15" r:id="rId4"/>
    <sheet name="ss" sheetId="1" r:id="rId5"/>
    <sheet name="Sales Summary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<sst xmlns="http://schemas.openxmlformats.org/spreadsheetml/2006/main" count="174" uniqueCount="76">
  <si>
    <t>Shop Location</t>
  </si>
  <si>
    <t>Sum of Net Amount</t>
  </si>
  <si>
    <t>East Midlands</t>
  </si>
  <si>
    <t>East of England</t>
  </si>
  <si>
    <t>London</t>
  </si>
  <si>
    <t>West Midlands</t>
  </si>
  <si>
    <t>Grand Total</t>
  </si>
  <si>
    <t>Payment</t>
  </si>
  <si>
    <t>Sum of Total Sales</t>
  </si>
  <si>
    <t>Cash</t>
  </si>
  <si>
    <t>POS</t>
  </si>
  <si>
    <t>Transfer</t>
  </si>
  <si>
    <t>Category</t>
  </si>
  <si>
    <t>Bakery</t>
  </si>
  <si>
    <t>Beverage</t>
  </si>
  <si>
    <t>Dairy</t>
  </si>
  <si>
    <t>Food</t>
  </si>
  <si>
    <t>Grocery</t>
  </si>
  <si>
    <t>Household</t>
  </si>
  <si>
    <t>Snacks</t>
  </si>
  <si>
    <t>Aldi Uk Supermarket Sales Record</t>
  </si>
  <si>
    <t>Date</t>
  </si>
  <si>
    <t>Customer Name</t>
  </si>
  <si>
    <t>Product</t>
  </si>
  <si>
    <t>Qty</t>
  </si>
  <si>
    <t>Unit Price</t>
  </si>
  <si>
    <t>Discount</t>
  </si>
  <si>
    <t>Total Sales</t>
  </si>
  <si>
    <t xml:space="preserve">VAT </t>
  </si>
  <si>
    <t>Net Amount</t>
  </si>
  <si>
    <t>01/07/2026</t>
  </si>
  <si>
    <t>John</t>
  </si>
  <si>
    <t>Rice</t>
  </si>
  <si>
    <t>Mary</t>
  </si>
  <si>
    <t>Milk</t>
  </si>
  <si>
    <t>02/07/2026</t>
  </si>
  <si>
    <t>David</t>
  </si>
  <si>
    <t>Bread</t>
  </si>
  <si>
    <t>Grace</t>
  </si>
  <si>
    <t>Sugar</t>
  </si>
  <si>
    <t>03/07/2026</t>
  </si>
  <si>
    <t>Peter</t>
  </si>
  <si>
    <t>Soft Drink</t>
  </si>
  <si>
    <t>Sarah</t>
  </si>
  <si>
    <t>Indomie</t>
  </si>
  <si>
    <t>04/07/2026</t>
  </si>
  <si>
    <t>James</t>
  </si>
  <si>
    <t>Cooking Oil</t>
  </si>
  <si>
    <t>Esther</t>
  </si>
  <si>
    <t>Biscuit</t>
  </si>
  <si>
    <t>05/07/2026</t>
  </si>
  <si>
    <t>Michael</t>
  </si>
  <si>
    <t>Eggs</t>
  </si>
  <si>
    <t>Blessing</t>
  </si>
  <si>
    <t>Soap</t>
  </si>
  <si>
    <t>Ben</t>
  </si>
  <si>
    <t>Mary A.</t>
  </si>
  <si>
    <t>Smith</t>
  </si>
  <si>
    <t>Berry</t>
  </si>
  <si>
    <t>Vicky</t>
  </si>
  <si>
    <t>Tom</t>
  </si>
  <si>
    <t>Toni</t>
  </si>
  <si>
    <t>Samson</t>
  </si>
  <si>
    <t>15/7/2026</t>
  </si>
  <si>
    <t>Chico</t>
  </si>
  <si>
    <t>Kather</t>
  </si>
  <si>
    <t>Paul</t>
  </si>
  <si>
    <t>20/7/2026</t>
  </si>
  <si>
    <t>Sarah O.</t>
  </si>
  <si>
    <t>Sale Summary</t>
  </si>
  <si>
    <t>Value</t>
  </si>
  <si>
    <t>Total Net Amount</t>
  </si>
  <si>
    <t>Total Quantity</t>
  </si>
  <si>
    <t>Average Sale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</si>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</sst>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6"/>
      <color theme="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NumberFormat="1" applyFont="1" applyAlignment="1">
      <alignment horizontal="center"/>
    </xf>
    <xf numFmtId="8" fontId="0" fillId="0" borderId="0" xfId="0" applyNumberFormat="1" applyFont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58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58" fontId="0" fillId="0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0" formatCode="General"/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[Aldi UK Supermarket  Sales.xlsx]Sheet2!PivotTable2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Sheet2!$A$4:$A$8</c:f>
              <c:strCache>
                <c:ptCount val="4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West Midlands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31864.35</c:v>
                </c:pt>
                <c:pt idx="1">
                  <c:v>98086.8</c:v>
                </c:pt>
                <c:pt idx="2">
                  <c:v>226519.65</c:v>
                </c:pt>
                <c:pt idx="3">
                  <c:v>1179894.45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309689079"/>
        <c:axId val="759640657"/>
      </c:barChart>
      <c:catAx>
        <c:axId val="309689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640657"/>
        <c:crosses val="autoZero"/>
        <c:auto val="1"/>
        <c:lblAlgn val="ctr"/>
        <c:lblOffset val="100"/>
        <c:noMultiLvlLbl val="0"/>
      </c:catAx>
      <c:valAx>
        <c:axId val="7596406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968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[Aldi UK Supermarket  Sales.xlsx]Sheet3!PivotTable3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Sheet3!$A$4:$A$7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1182654</c:v>
                </c:pt>
                <c:pt idx="1">
                  <c:v>186379</c:v>
                </c:pt>
                <c:pt idx="2">
                  <c:v>94172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29779925"/>
        <c:axId val="426011980"/>
      </c:barChart>
      <c:catAx>
        <c:axId val="2297799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011980"/>
        <c:crosses val="autoZero"/>
        <c:auto val="1"/>
        <c:lblAlgn val="ctr"/>
        <c:lblOffset val="100"/>
        <c:noMultiLvlLbl val="0"/>
      </c:catAx>
      <c:valAx>
        <c:axId val="4260119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7799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[Aldi UK Supermarket  Sales.xlsx]Sheet5!PivotTable4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Sheet5!$A$4:$A$11</c:f>
              <c:strCache>
                <c:ptCount val="7"/>
                <c:pt idx="0">
                  <c:v>Bakery</c:v>
                </c:pt>
                <c:pt idx="1">
                  <c:v>Beverage</c:v>
                </c:pt>
                <c:pt idx="2">
                  <c:v>Dairy</c:v>
                </c:pt>
                <c:pt idx="3">
                  <c:v>Food</c:v>
                </c:pt>
                <c:pt idx="4">
                  <c:v>Grocery</c:v>
                </c:pt>
                <c:pt idx="5">
                  <c:v>Household</c:v>
                </c:pt>
                <c:pt idx="6">
                  <c:v>Snacks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11748</c:v>
                </c:pt>
                <c:pt idx="1">
                  <c:v>9446</c:v>
                </c:pt>
                <c:pt idx="2">
                  <c:v>77671</c:v>
                </c:pt>
                <c:pt idx="3">
                  <c:v>1139765</c:v>
                </c:pt>
                <c:pt idx="4">
                  <c:v>99591</c:v>
                </c:pt>
                <c:pt idx="5">
                  <c:v>78641</c:v>
                </c:pt>
                <c:pt idx="6">
                  <c:v>46343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6367732"/>
        <c:axId val="977986723"/>
      </c:lineChart>
      <c:catAx>
        <c:axId val="5863677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986723"/>
        <c:crosses val="autoZero"/>
        <c:auto val="1"/>
        <c:lblAlgn val="ctr"/>
        <c:lblOffset val="100"/>
        <c:noMultiLvlLbl val="0"/>
      </c:catAx>
      <c:valAx>
        <c:axId val="977986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67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[Aldi UK Supermarket  Sales.xlsx]Sheet3!PivotTable3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Sheet3!$A$4:$A$7</c:f>
              <c:strCache>
                <c:ptCount val="3"/>
                <c:pt idx="0">
                  <c:v>Cash</c:v>
                </c:pt>
                <c:pt idx="1">
                  <c:v>POS</c:v>
                </c:pt>
                <c:pt idx="2">
                  <c:v>Transfer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1182654</c:v>
                </c:pt>
                <c:pt idx="1">
                  <c:v>186379</c:v>
                </c:pt>
                <c:pt idx="2">
                  <c:v>94172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29779925"/>
        <c:axId val="426011980"/>
      </c:barChart>
      <c:catAx>
        <c:axId val="2297799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011980"/>
        <c:crosses val="autoZero"/>
        <c:auto val="1"/>
        <c:lblAlgn val="ctr"/>
        <c:lblOffset val="100"/>
        <c:noMultiLvlLbl val="0"/>
      </c:catAx>
      <c:valAx>
        <c:axId val="4260119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77992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[Aldi UK Supermarket  Sales.xlsx]Sheet5!PivotTable4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Sheet5!$A$4:$A$11</c:f>
              <c:strCache>
                <c:ptCount val="7"/>
                <c:pt idx="0">
                  <c:v>Bakery</c:v>
                </c:pt>
                <c:pt idx="1">
                  <c:v>Beverage</c:v>
                </c:pt>
                <c:pt idx="2">
                  <c:v>Dairy</c:v>
                </c:pt>
                <c:pt idx="3">
                  <c:v>Food</c:v>
                </c:pt>
                <c:pt idx="4">
                  <c:v>Grocery</c:v>
                </c:pt>
                <c:pt idx="5">
                  <c:v>Household</c:v>
                </c:pt>
                <c:pt idx="6">
                  <c:v>Snacks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11748</c:v>
                </c:pt>
                <c:pt idx="1">
                  <c:v>9446</c:v>
                </c:pt>
                <c:pt idx="2">
                  <c:v>77671</c:v>
                </c:pt>
                <c:pt idx="3">
                  <c:v>1139765</c:v>
                </c:pt>
                <c:pt idx="4">
                  <c:v>99591</c:v>
                </c:pt>
                <c:pt idx="5">
                  <c:v>78641</c:v>
                </c:pt>
                <c:pt idx="6">
                  <c:v>46343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6367732"/>
        <c:axId val="977986723"/>
      </c:lineChart>
      <c:catAx>
        <c:axId val="5863677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986723"/>
        <c:crosses val="autoZero"/>
        <c:auto val="1"/>
        <c:lblAlgn val="ctr"/>
        <c:lblOffset val="100"/>
        <c:noMultiLvlLbl val="0"/>
      </c:catAx>
      <c:valAx>
        <c:axId val="977986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67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7" Type="http://schemas.openxmlformats.org/officeDocument/2006/relationships/image" Target="../media/image5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1212850</xdr:colOff>
      <xdr:row>4</xdr:row>
      <xdr:rowOff>63500</xdr:rowOff>
    </xdr:from>
    <xdr:to>
      <xdr:col>9</xdr:col>
      <xdr:colOff>428625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22987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546100</xdr:colOff>
      <xdr:row>4</xdr:row>
      <xdr:rowOff>187325</xdr:rowOff>
    </xdr:from>
    <xdr:to>
      <xdr:col>8</xdr:col>
      <xdr:colOff>552450</xdr:colOff>
      <xdr:row>18</xdr:row>
      <xdr:rowOff>73025</xdr:rowOff>
    </xdr:to>
    <xdr:graphicFrame>
      <xdr:nvGraphicFramePr>
        <xdr:cNvPr id="2" name="Chart 1"/>
        <xdr:cNvGraphicFramePr/>
      </xdr:nvGraphicFramePr>
      <xdr:xfrm>
        <a:off x="2593975" y="949325"/>
        <a:ext cx="466407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250825</xdr:colOff>
      <xdr:row>4</xdr:row>
      <xdr:rowOff>63500</xdr:rowOff>
    </xdr:from>
    <xdr:to>
      <xdr:col>8</xdr:col>
      <xdr:colOff>476250</xdr:colOff>
      <xdr:row>18</xdr:row>
      <xdr:rowOff>139700</xdr:rowOff>
    </xdr:to>
    <xdr:graphicFrame>
      <xdr:nvGraphicFramePr>
        <xdr:cNvPr id="2" name="Chart 1"/>
        <xdr:cNvGraphicFramePr/>
      </xdr:nvGraphicFramePr>
      <xdr:xfrm>
        <a:off x="2298700" y="825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190500</xdr:colOff>
      <xdr:row>0</xdr:row>
      <xdr:rowOff>9525</xdr:rowOff>
    </xdr:from>
    <xdr:to>
      <xdr:col>11</xdr:col>
      <xdr:colOff>542290</xdr:colOff>
      <xdr:row>1</xdr:row>
      <xdr:rowOff>161925</xdr:rowOff>
    </xdr:to>
    <xdr:sp>
      <xdr:nvSpPr>
        <xdr:cNvPr id="3" name="Text Box 2"/>
        <xdr:cNvSpPr txBox="1"/>
      </xdr:nvSpPr>
      <xdr:spPr>
        <a:xfrm>
          <a:off x="3238500" y="9525"/>
          <a:ext cx="4009390" cy="342900"/>
        </a:xfrm>
        <a:prstGeom prst="rect">
          <a:avLst/>
        </a:prstGeom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800"/>
            <a:t>SUPERMARKET SALES DASHBOARD</a:t>
          </a:r>
          <a:endParaRPr lang="en-US" sz="1800"/>
        </a:p>
        <a:p>
          <a:pPr algn="ctr"/>
          <a:endParaRPr lang="en-US" sz="1800"/>
        </a:p>
      </xdr:txBody>
    </xdr:sp>
    <xdr:clientData/>
  </xdr:twoCellAnchor>
  <xdr:twoCellAnchor editAs="oneCell">
    <xdr:from>
      <xdr:col>0</xdr:col>
      <xdr:colOff>304800</xdr:colOff>
      <xdr:row>2</xdr:row>
      <xdr:rowOff>107950</xdr:rowOff>
    </xdr:from>
    <xdr:to>
      <xdr:col>2</xdr:col>
      <xdr:colOff>127635</xdr:colOff>
      <xdr:row>8</xdr:row>
      <xdr:rowOff>180975</xdr:rowOff>
    </xdr:to>
    <xdr:pic>
      <xdr:nvPicPr>
        <xdr:cNvPr id="4" name="Dat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800" y="488950"/>
          <a:ext cx="1042035" cy="1216025"/>
        </a:xfrm>
        <a:prstGeom prst="rect">
          <a:avLst/>
        </a:prstGeom>
      </xdr:spPr>
    </xdr:pic>
    <xdr:clientData/>
  </xdr:twoCellAnchor>
  <xdr:twoCellAnchor>
    <xdr:from>
      <xdr:col>8</xdr:col>
      <xdr:colOff>63500</xdr:colOff>
      <xdr:row>13</xdr:row>
      <xdr:rowOff>167005</xdr:rowOff>
    </xdr:from>
    <xdr:to>
      <xdr:col>14</xdr:col>
      <xdr:colOff>176530</xdr:colOff>
      <xdr:row>22</xdr:row>
      <xdr:rowOff>101600</xdr:rowOff>
    </xdr:to>
    <xdr:graphicFrame>
      <xdr:nvGraphicFramePr>
        <xdr:cNvPr id="5" name="Chart 4"/>
        <xdr:cNvGraphicFramePr/>
      </xdr:nvGraphicFramePr>
      <xdr:xfrm>
        <a:off x="4940300" y="2643505"/>
        <a:ext cx="3770630" cy="1649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514350</xdr:colOff>
      <xdr:row>2</xdr:row>
      <xdr:rowOff>120015</xdr:rowOff>
    </xdr:from>
    <xdr:to>
      <xdr:col>4</xdr:col>
      <xdr:colOff>470535</xdr:colOff>
      <xdr:row>9</xdr:row>
      <xdr:rowOff>0</xdr:rowOff>
    </xdr:to>
    <xdr:pic>
      <xdr:nvPicPr>
        <xdr:cNvPr id="6" name="Total Sales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3550" y="501015"/>
          <a:ext cx="1175385" cy="1213485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2</xdr:row>
      <xdr:rowOff>154940</xdr:rowOff>
    </xdr:from>
    <xdr:to>
      <xdr:col>7</xdr:col>
      <xdr:colOff>180975</xdr:colOff>
      <xdr:row>9</xdr:row>
      <xdr:rowOff>57150</xdr:rowOff>
    </xdr:to>
    <xdr:pic>
      <xdr:nvPicPr>
        <xdr:cNvPr id="7" name="Net Amount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43275" y="535940"/>
          <a:ext cx="1104900" cy="1235710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11</xdr:row>
      <xdr:rowOff>28575</xdr:rowOff>
    </xdr:from>
    <xdr:to>
      <xdr:col>2</xdr:col>
      <xdr:colOff>225425</xdr:colOff>
      <xdr:row>18</xdr:row>
      <xdr:rowOff>19050</xdr:rowOff>
    </xdr:to>
    <xdr:pic>
      <xdr:nvPicPr>
        <xdr:cNvPr id="8" name="Customer Nam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7175" y="2124075"/>
          <a:ext cx="1187450" cy="1323975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11</xdr:row>
      <xdr:rowOff>5080</xdr:rowOff>
    </xdr:from>
    <xdr:to>
      <xdr:col>4</xdr:col>
      <xdr:colOff>467995</xdr:colOff>
      <xdr:row>18</xdr:row>
      <xdr:rowOff>38100</xdr:rowOff>
    </xdr:to>
    <xdr:pic>
      <xdr:nvPicPr>
        <xdr:cNvPr id="9" name="Category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85925" y="2100580"/>
          <a:ext cx="1220470" cy="136652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11</xdr:row>
      <xdr:rowOff>102235</xdr:rowOff>
    </xdr:from>
    <xdr:to>
      <xdr:col>7</xdr:col>
      <xdr:colOff>229870</xdr:colOff>
      <xdr:row>18</xdr:row>
      <xdr:rowOff>123825</xdr:rowOff>
    </xdr:to>
    <xdr:pic>
      <xdr:nvPicPr>
        <xdr:cNvPr id="10" name="Shop Location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76600" y="2197735"/>
          <a:ext cx="1220470" cy="1355090"/>
        </a:xfrm>
        <a:prstGeom prst="rect">
          <a:avLst/>
        </a:prstGeom>
      </xdr:spPr>
    </xdr:pic>
    <xdr:clientData/>
  </xdr:twoCellAnchor>
  <xdr:twoCellAnchor>
    <xdr:from>
      <xdr:col>8</xdr:col>
      <xdr:colOff>50165</xdr:colOff>
      <xdr:row>2</xdr:row>
      <xdr:rowOff>182245</xdr:rowOff>
    </xdr:from>
    <xdr:to>
      <xdr:col>13</xdr:col>
      <xdr:colOff>496570</xdr:colOff>
      <xdr:row>13</xdr:row>
      <xdr:rowOff>12065</xdr:rowOff>
    </xdr:to>
    <xdr:graphicFrame>
      <xdr:nvGraphicFramePr>
        <xdr:cNvPr id="11" name="Chart 10"/>
        <xdr:cNvGraphicFramePr/>
      </xdr:nvGraphicFramePr>
      <xdr:xfrm>
        <a:off x="4926965" y="563245"/>
        <a:ext cx="3494405" cy="192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0.5706828704" refreshedBy="HP" recordCount="22">
  <cacheSource type="worksheet">
    <worksheetSource name="Table1"/>
  </cacheSource>
  <cacheFields count="12">
    <cacheField name="Date" numFmtId="0">
      <sharedItems containsDate="1" containsMixedTypes="1" count="8">
        <s v="01/07/2026"/>
        <s v="02/07/2026"/>
        <s v="03/07/2026"/>
        <s v="04/07/2026"/>
        <s v="05/07/2026"/>
        <d v="2026-05-07T00:00:00"/>
        <s v="15/7/2026"/>
        <s v="20/7/2026"/>
      </sharedItems>
    </cacheField>
    <cacheField name="Customer Name" numFmtId="0">
      <sharedItems count="22">
        <s v="John"/>
        <s v="Mary"/>
        <s v="David"/>
        <s v="Grace"/>
        <s v="Peter"/>
        <s v="Sarah"/>
        <s v="James"/>
        <s v="Esther"/>
        <s v="Michael"/>
        <s v="Blessing"/>
        <s v="Ben"/>
        <s v="Mary A."/>
        <s v="Smith"/>
        <s v="Berry"/>
        <s v="Vicky"/>
        <s v="Tom"/>
        <s v="Toni"/>
        <s v="Samson"/>
        <s v="Chico"/>
        <s v="Kather"/>
        <s v="Paul"/>
        <s v="Sarah O."/>
      </sharedItems>
    </cacheField>
    <cacheField name="Shop Location" numFmtId="0">
      <sharedItems count="4">
        <s v="London"/>
        <s v="East Midlands"/>
        <s v="West Midlands"/>
        <s v="East of England"/>
      </sharedItems>
    </cacheField>
    <cacheField name="Product" numFmtId="0">
      <sharedItems count="10">
        <s v="Rice"/>
        <s v="Milk"/>
        <s v="Bread"/>
        <s v="Sugar"/>
        <s v="Soft Drink"/>
        <s v="Indomie"/>
        <s v="Cooking Oil"/>
        <s v="Biscuit"/>
        <s v="Eggs"/>
        <s v="Soap"/>
      </sharedItems>
    </cacheField>
    <cacheField name="Category" numFmtId="0">
      <sharedItems count="7">
        <s v="Food"/>
        <s v="Dairy"/>
        <s v="Bakery"/>
        <s v="Grocery"/>
        <s v="Beverage"/>
        <s v="Snacks"/>
        <s v="Household"/>
      </sharedItems>
    </cacheField>
    <cacheField name="Qty" numFmtId="0">
      <sharedItems containsSemiMixedTypes="0" containsString="0" containsNumber="1" containsInteger="1" minValue="0" maxValue="56" count="11">
        <n v="2"/>
        <n v="3"/>
        <n v="5"/>
        <n v="4"/>
        <n v="6"/>
        <n v="12"/>
        <n v="8"/>
        <n v="10"/>
        <n v="23"/>
        <n v="56"/>
        <n v="20"/>
      </sharedItems>
    </cacheField>
    <cacheField name="Unit Price" numFmtId="8">
      <sharedItems containsSemiMixedTypes="0" containsString="0" containsNumber="1" containsInteger="1" minValue="0" maxValue="45000" count="11">
        <n v="45000"/>
        <n v="3500"/>
        <n v="1500"/>
        <n v="2500"/>
        <n v="800"/>
        <n v="700"/>
        <n v="19500"/>
        <n v="3000"/>
        <n v="1200"/>
        <n v="190"/>
        <n v="500"/>
      </sharedItems>
    </cacheField>
    <cacheField name="Discount" numFmtId="8">
      <sharedItems containsSemiMixedTypes="0" containsString="0" containsNumber="1" containsInteger="1" minValue="0" maxValue="1000" count="17">
        <n v="1000"/>
        <n v="500"/>
        <n v="200"/>
        <n v="300"/>
        <n v="100"/>
        <n v="50"/>
        <n v="51"/>
        <n v="52"/>
        <n v="53"/>
        <n v="54"/>
        <n v="55"/>
        <n v="56"/>
        <n v="57"/>
        <n v="58"/>
        <n v="59"/>
        <n v="30"/>
        <n v="20"/>
      </sharedItems>
    </cacheField>
    <cacheField name="Total Sales" numFmtId="8">
      <sharedItems containsSemiMixedTypes="0" containsString="0" containsNumber="1" containsInteger="1" minValue="0" maxValue="1034950" count="22">
        <n v="89000"/>
        <n v="10000"/>
        <n v="7300"/>
        <n v="9700"/>
        <n v="4700"/>
        <n v="7900"/>
        <n v="38500"/>
        <n v="11900"/>
        <n v="8800"/>
        <n v="11500"/>
        <n v="1034950"/>
        <n v="41949"/>
        <n v="4448"/>
        <n v="12447"/>
        <n v="4746"/>
        <n v="4145"/>
        <n v="38944"/>
        <n v="34443"/>
        <n v="11942"/>
        <n v="67141"/>
        <n v="3770"/>
        <n v="4980"/>
      </sharedItems>
    </cacheField>
    <cacheField name="VAT " numFmtId="8">
      <sharedItems containsSemiMixedTypes="0" containsString="0" containsNumber="1" minValue="0" maxValue="51747.5" count="22">
        <n v="4450"/>
        <n v="500"/>
        <n v="365"/>
        <n v="485"/>
        <n v="235"/>
        <n v="395"/>
        <n v="1925"/>
        <n v="595"/>
        <n v="440"/>
        <n v="575"/>
        <n v="51747.5"/>
        <n v="2097.45"/>
        <n v="222.4"/>
        <n v="622.35"/>
        <n v="237.3"/>
        <n v="207.25"/>
        <n v="1947.2"/>
        <n v="1722.15"/>
        <n v="597.1"/>
        <n v="3357.05"/>
        <n v="188.5"/>
        <n v="249"/>
      </sharedItems>
    </cacheField>
    <cacheField name="Net Amount" numFmtId="8">
      <sharedItems containsSemiMixedTypes="0" containsString="0" containsNumber="1" minValue="0" maxValue="1086697.5" count="22">
        <n v="93450"/>
        <n v="10500"/>
        <n v="7665"/>
        <n v="10185"/>
        <n v="4935"/>
        <n v="8295"/>
        <n v="40425"/>
        <n v="12495"/>
        <n v="9240"/>
        <n v="12075"/>
        <n v="1086697.5"/>
        <n v="44046.45"/>
        <n v="4670.4"/>
        <n v="13069.35"/>
        <n v="4983.3"/>
        <n v="4352.25"/>
        <n v="40891.2"/>
        <n v="36165.15"/>
        <n v="12539.1"/>
        <n v="70498.05"/>
        <n v="3958.5"/>
        <n v="5229"/>
      </sharedItems>
    </cacheField>
    <cacheField name="Payment" numFmtId="0">
      <sharedItems count="3">
        <s v="Cash"/>
        <s v="POS"/>
        <s v="Transf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</r>
  <r>
    <x v="1"/>
    <x v="2"/>
    <x v="2"/>
    <x v="2"/>
    <x v="2"/>
    <x v="2"/>
    <x v="2"/>
    <x v="2"/>
    <x v="2"/>
    <x v="2"/>
    <x v="2"/>
    <x v="2"/>
  </r>
  <r>
    <x v="1"/>
    <x v="3"/>
    <x v="3"/>
    <x v="3"/>
    <x v="3"/>
    <x v="3"/>
    <x v="3"/>
    <x v="3"/>
    <x v="3"/>
    <x v="3"/>
    <x v="3"/>
    <x v="0"/>
  </r>
  <r>
    <x v="2"/>
    <x v="4"/>
    <x v="0"/>
    <x v="4"/>
    <x v="4"/>
    <x v="4"/>
    <x v="4"/>
    <x v="4"/>
    <x v="4"/>
    <x v="4"/>
    <x v="4"/>
    <x v="1"/>
  </r>
  <r>
    <x v="2"/>
    <x v="5"/>
    <x v="1"/>
    <x v="5"/>
    <x v="0"/>
    <x v="5"/>
    <x v="5"/>
    <x v="1"/>
    <x v="5"/>
    <x v="5"/>
    <x v="5"/>
    <x v="0"/>
  </r>
  <r>
    <x v="3"/>
    <x v="6"/>
    <x v="2"/>
    <x v="6"/>
    <x v="3"/>
    <x v="0"/>
    <x v="6"/>
    <x v="1"/>
    <x v="6"/>
    <x v="6"/>
    <x v="6"/>
    <x v="2"/>
  </r>
  <r>
    <x v="3"/>
    <x v="7"/>
    <x v="3"/>
    <x v="7"/>
    <x v="5"/>
    <x v="6"/>
    <x v="2"/>
    <x v="4"/>
    <x v="7"/>
    <x v="7"/>
    <x v="7"/>
    <x v="1"/>
  </r>
  <r>
    <x v="4"/>
    <x v="8"/>
    <x v="3"/>
    <x v="8"/>
    <x v="1"/>
    <x v="1"/>
    <x v="7"/>
    <x v="2"/>
    <x v="8"/>
    <x v="8"/>
    <x v="8"/>
    <x v="0"/>
  </r>
  <r>
    <x v="4"/>
    <x v="9"/>
    <x v="0"/>
    <x v="9"/>
    <x v="6"/>
    <x v="7"/>
    <x v="8"/>
    <x v="1"/>
    <x v="9"/>
    <x v="9"/>
    <x v="9"/>
    <x v="1"/>
  </r>
  <r>
    <x v="5"/>
    <x v="10"/>
    <x v="2"/>
    <x v="0"/>
    <x v="0"/>
    <x v="8"/>
    <x v="0"/>
    <x v="5"/>
    <x v="10"/>
    <x v="10"/>
    <x v="10"/>
    <x v="0"/>
  </r>
  <r>
    <x v="5"/>
    <x v="11"/>
    <x v="3"/>
    <x v="1"/>
    <x v="1"/>
    <x v="5"/>
    <x v="1"/>
    <x v="6"/>
    <x v="11"/>
    <x v="11"/>
    <x v="11"/>
    <x v="1"/>
  </r>
  <r>
    <x v="5"/>
    <x v="12"/>
    <x v="0"/>
    <x v="2"/>
    <x v="2"/>
    <x v="1"/>
    <x v="2"/>
    <x v="7"/>
    <x v="12"/>
    <x v="12"/>
    <x v="12"/>
    <x v="2"/>
  </r>
  <r>
    <x v="4"/>
    <x v="13"/>
    <x v="1"/>
    <x v="3"/>
    <x v="3"/>
    <x v="2"/>
    <x v="3"/>
    <x v="8"/>
    <x v="13"/>
    <x v="13"/>
    <x v="13"/>
    <x v="0"/>
  </r>
  <r>
    <x v="4"/>
    <x v="14"/>
    <x v="2"/>
    <x v="4"/>
    <x v="4"/>
    <x v="4"/>
    <x v="4"/>
    <x v="9"/>
    <x v="14"/>
    <x v="14"/>
    <x v="14"/>
    <x v="1"/>
  </r>
  <r>
    <x v="5"/>
    <x v="15"/>
    <x v="3"/>
    <x v="5"/>
    <x v="0"/>
    <x v="4"/>
    <x v="5"/>
    <x v="10"/>
    <x v="15"/>
    <x v="15"/>
    <x v="15"/>
    <x v="0"/>
  </r>
  <r>
    <x v="5"/>
    <x v="16"/>
    <x v="0"/>
    <x v="6"/>
    <x v="3"/>
    <x v="0"/>
    <x v="6"/>
    <x v="11"/>
    <x v="16"/>
    <x v="16"/>
    <x v="16"/>
    <x v="2"/>
  </r>
  <r>
    <x v="5"/>
    <x v="17"/>
    <x v="2"/>
    <x v="7"/>
    <x v="5"/>
    <x v="8"/>
    <x v="2"/>
    <x v="12"/>
    <x v="17"/>
    <x v="17"/>
    <x v="17"/>
    <x v="1"/>
  </r>
  <r>
    <x v="6"/>
    <x v="18"/>
    <x v="3"/>
    <x v="8"/>
    <x v="1"/>
    <x v="3"/>
    <x v="7"/>
    <x v="13"/>
    <x v="18"/>
    <x v="18"/>
    <x v="18"/>
    <x v="0"/>
  </r>
  <r>
    <x v="6"/>
    <x v="19"/>
    <x v="0"/>
    <x v="9"/>
    <x v="6"/>
    <x v="9"/>
    <x v="8"/>
    <x v="14"/>
    <x v="19"/>
    <x v="19"/>
    <x v="19"/>
    <x v="1"/>
  </r>
  <r>
    <x v="6"/>
    <x v="20"/>
    <x v="2"/>
    <x v="0"/>
    <x v="0"/>
    <x v="10"/>
    <x v="9"/>
    <x v="15"/>
    <x v="20"/>
    <x v="20"/>
    <x v="20"/>
    <x v="0"/>
  </r>
  <r>
    <x v="7"/>
    <x v="21"/>
    <x v="3"/>
    <x v="1"/>
    <x v="1"/>
    <x v="7"/>
    <x v="10"/>
    <x v="16"/>
    <x v="21"/>
    <x v="21"/>
    <x v="2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2">
    <pivotField compact="0" showAll="0">
      <items count="9">
        <item x="0"/>
        <item x="1"/>
        <item x="2"/>
        <item x="3"/>
        <item x="4"/>
        <item x="6"/>
        <item x="7"/>
        <item x="5"/>
        <item t="default"/>
      </items>
    </pivotField>
    <pivotField compact="0" showAll="0"/>
    <pivotField axis="axisRow" compact="0" showAll="0">
      <items count="5">
        <item x="1"/>
        <item x="3"/>
        <item x="0"/>
        <item x="2"/>
        <item t="default"/>
      </items>
    </pivotField>
    <pivotField compact="0" showAll="0"/>
    <pivotField compact="0" showAll="0"/>
    <pivotField compact="0" showAll="0"/>
    <pivotField compact="0" numFmtId="8" showAll="0"/>
    <pivotField compact="0" numFmtId="8" showAll="0"/>
    <pivotField compact="0" numFmtId="8" showAll="0"/>
    <pivotField compact="0" numFmtId="8" showAll="0"/>
    <pivotField dataField="1" compact="0" numFmtId="8" showAll="0">
      <items count="23">
        <item x="20"/>
        <item x="15"/>
        <item x="12"/>
        <item x="4"/>
        <item x="14"/>
        <item x="21"/>
        <item x="2"/>
        <item x="5"/>
        <item x="8"/>
        <item x="3"/>
        <item x="1"/>
        <item x="9"/>
        <item x="7"/>
        <item x="18"/>
        <item x="13"/>
        <item x="17"/>
        <item x="6"/>
        <item x="16"/>
        <item x="11"/>
        <item x="19"/>
        <item x="0"/>
        <item x="10"/>
        <item t="default"/>
      </items>
    </pivotField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Amoun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2">
    <pivotField compact="0" showAll="0">
      <items count="9">
        <item x="0"/>
        <item x="1"/>
        <item x="2"/>
        <item x="3"/>
        <item x="4"/>
        <item x="6"/>
        <item x="7"/>
        <item x="5"/>
        <item t="default"/>
      </items>
    </pivotField>
    <pivotField compact="0" showAll="0"/>
    <pivotField compact="0" showAll="0">
      <items count="5">
        <item x="1"/>
        <item x="3"/>
        <item x="0"/>
        <item x="2"/>
        <item t="default"/>
      </items>
    </pivotField>
    <pivotField compact="0" showAll="0"/>
    <pivotField compact="0" showAll="0">
      <items count="8">
        <item x="2"/>
        <item x="4"/>
        <item x="1"/>
        <item x="0"/>
        <item x="3"/>
        <item x="6"/>
        <item x="5"/>
        <item t="default"/>
      </items>
    </pivotField>
    <pivotField compact="0" showAll="0"/>
    <pivotField compact="0" numFmtId="8" showAll="0"/>
    <pivotField compact="0" numFmtId="8" showAll="0"/>
    <pivotField dataField="1" compact="0" numFmtId="8" showAll="0">
      <items count="23">
        <item x="20"/>
        <item x="15"/>
        <item x="12"/>
        <item x="4"/>
        <item x="14"/>
        <item x="21"/>
        <item x="2"/>
        <item x="5"/>
        <item x="8"/>
        <item x="3"/>
        <item x="1"/>
        <item x="9"/>
        <item x="7"/>
        <item x="18"/>
        <item x="13"/>
        <item x="17"/>
        <item x="6"/>
        <item x="16"/>
        <item x="11"/>
        <item x="19"/>
        <item x="0"/>
        <item x="10"/>
        <item t="default"/>
      </items>
    </pivotField>
    <pivotField compact="0" numFmtId="8" showAll="0"/>
    <pivotField compact="0" numFmtId="8" showAll="0"/>
    <pivotField axis="axisRow" compact="0" showAll="0">
      <items count="4">
        <item x="0"/>
        <item x="1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2">
    <pivotField compact="0" showAll="0">
      <items count="9">
        <item x="0"/>
        <item x="1"/>
        <item x="2"/>
        <item x="3"/>
        <item x="4"/>
        <item x="6"/>
        <item x="7"/>
        <item x="5"/>
        <item t="default"/>
      </items>
    </pivotField>
    <pivotField compact="0" showAll="0"/>
    <pivotField compact="0" showAll="0"/>
    <pivotField compact="0" showAll="0"/>
    <pivotField axis="axisRow" compact="0" showAll="0">
      <items count="8">
        <item x="2"/>
        <item x="4"/>
        <item x="1"/>
        <item x="0"/>
        <item x="3"/>
        <item x="6"/>
        <item x="5"/>
        <item t="default"/>
      </items>
    </pivotField>
    <pivotField compact="0" showAll="0"/>
    <pivotField compact="0" numFmtId="8" showAll="0"/>
    <pivotField compact="0" numFmtId="8" showAll="0"/>
    <pivotField dataField="1" compact="0" numFmtId="8" showAll="0">
      <items count="23">
        <item x="20"/>
        <item x="15"/>
        <item x="12"/>
        <item x="4"/>
        <item x="14"/>
        <item x="21"/>
        <item x="2"/>
        <item x="5"/>
        <item x="8"/>
        <item x="3"/>
        <item x="1"/>
        <item x="9"/>
        <item x="7"/>
        <item x="18"/>
        <item x="13"/>
        <item x="17"/>
        <item x="6"/>
        <item x="16"/>
        <item x="11"/>
        <item x="19"/>
        <item x="0"/>
        <item x="10"/>
        <item t="default"/>
      </items>
    </pivotField>
    <pivotField compact="0" numFmtId="8" showAll="0"/>
    <pivotField compact="0" numFmtId="8" showAll="0"/>
    <pivotField compact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L24" totalsRowShown="0">
  <autoFilter xmlns:etc="http://www.wps.cn/officeDocument/2017/etCustomData" ref="A2:L24" etc:filterBottomFollowUsedRange="0"/>
  <tableColumns count="12">
    <tableColumn id="1" name="Date" dataDxfId="0"/>
    <tableColumn id="2" name="Customer Name" dataDxfId="1"/>
    <tableColumn id="12" name="Shop Location"/>
    <tableColumn id="3" name="Product" dataDxfId="2"/>
    <tableColumn id="4" name="Category" dataDxfId="3"/>
    <tableColumn id="5" name="Qty" dataDxfId="4"/>
    <tableColumn id="6" name="Unit Price" dataDxfId="5"/>
    <tableColumn id="7" name="Discount" dataDxfId="6"/>
    <tableColumn id="8" name="Total Sales" dataDxfId="7">
      <calculatedColumnFormula>F3*G3-H3</calculatedColumnFormula>
    </tableColumn>
    <tableColumn id="9" name="VAT " dataDxfId="8">
      <calculatedColumnFormula>I3*5%</calculatedColumnFormula>
    </tableColumn>
    <tableColumn id="10" name="Net Amount" dataDxfId="9">
      <calculatedColumnFormula>I3+J3</calculatedColumnFormula>
    </tableColumn>
    <tableColumn id="11" name="Payment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11" totalsRowShown="0">
  <autoFilter xmlns:etc="http://www.wps.cn/officeDocument/2017/etCustomData" ref="A1:B11" etc:filterBottomFollowUsedRange="0"/>
  <tableColumns count="2">
    <tableColumn id="1" name="Sale Summary"/>
    <tableColumn id="2" name="Value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4" sqref="A4:B7"/>
    </sheetView>
  </sheetViews>
  <sheetFormatPr defaultColWidth="9.14285714285714" defaultRowHeight="15" outlineLevelRow="7" outlineLevelCol="1"/>
  <cols>
    <col min="1" max="1" width="16.2857142857143"/>
    <col min="2" max="2" width="20.1428571428571"/>
  </cols>
  <sheetData>
    <row r="3" spans="1:2">
      <c r="A3" t="s">
        <v>0</v>
      </c>
      <c r="B3" t="s">
        <v>1</v>
      </c>
    </row>
    <row r="4" spans="1:2">
      <c r="A4" t="s">
        <v>2</v>
      </c>
      <c r="B4">
        <v>31864.35</v>
      </c>
    </row>
    <row r="5" spans="1:2">
      <c r="A5" t="s">
        <v>3</v>
      </c>
      <c r="B5">
        <v>98086.8</v>
      </c>
    </row>
    <row r="6" spans="1:2">
      <c r="A6" t="s">
        <v>4</v>
      </c>
      <c r="B6">
        <v>226519.65</v>
      </c>
    </row>
    <row r="7" spans="1:2">
      <c r="A7" t="s">
        <v>5</v>
      </c>
      <c r="B7">
        <v>1179894.45</v>
      </c>
    </row>
    <row r="8" spans="1:2">
      <c r="A8" t="s">
        <v>6</v>
      </c>
      <c r="B8">
        <v>1536365.25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J4" sqref="J4"/>
    </sheetView>
  </sheetViews>
  <sheetFormatPr defaultColWidth="9.14285714285714" defaultRowHeight="15" outlineLevelRow="6" outlineLevelCol="1"/>
  <cols>
    <col min="1" max="1" width="12.1428571428571"/>
    <col min="2" max="2" width="18.5714285714286"/>
    <col min="3" max="4" width="11.4285714285714"/>
    <col min="5" max="6" width="11.8571428571429"/>
    <col min="7" max="7" width="11.4285714285714"/>
    <col min="8" max="9" width="11.8571428571429"/>
  </cols>
  <sheetData>
    <row r="3" spans="1:2">
      <c r="A3" t="s">
        <v>7</v>
      </c>
      <c r="B3" t="s">
        <v>8</v>
      </c>
    </row>
    <row r="4" spans="1:2">
      <c r="A4" t="s">
        <v>9</v>
      </c>
      <c r="B4">
        <v>1182654</v>
      </c>
    </row>
    <row r="5" spans="1:2">
      <c r="A5" t="s">
        <v>10</v>
      </c>
      <c r="B5">
        <v>186379</v>
      </c>
    </row>
    <row r="6" spans="1:2">
      <c r="A6" t="s">
        <v>11</v>
      </c>
      <c r="B6">
        <v>94172</v>
      </c>
    </row>
    <row r="7" spans="1:2">
      <c r="A7" t="s">
        <v>6</v>
      </c>
      <c r="B7">
        <v>1463205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B9" sqref="B9"/>
    </sheetView>
  </sheetViews>
  <sheetFormatPr defaultColWidth="9.14285714285714" defaultRowHeight="15" outlineLevelCol="1"/>
  <cols>
    <col min="1" max="1" width="12.1428571428571"/>
    <col min="2" max="2" width="18.5714285714286"/>
    <col min="3" max="7" width="11.4285714285714"/>
    <col min="8" max="8" width="11.8571428571429"/>
  </cols>
  <sheetData>
    <row r="3" spans="1:2">
      <c r="A3" t="s">
        <v>12</v>
      </c>
      <c r="B3" t="s">
        <v>8</v>
      </c>
    </row>
    <row r="4" spans="1:2">
      <c r="A4" t="s">
        <v>13</v>
      </c>
      <c r="B4">
        <v>11748</v>
      </c>
    </row>
    <row r="5" spans="1:2">
      <c r="A5" t="s">
        <v>14</v>
      </c>
      <c r="B5">
        <v>9446</v>
      </c>
    </row>
    <row r="6" spans="1:2">
      <c r="A6" t="s">
        <v>15</v>
      </c>
      <c r="B6">
        <v>77671</v>
      </c>
    </row>
    <row r="7" spans="1:2">
      <c r="A7" t="s">
        <v>16</v>
      </c>
      <c r="B7">
        <v>1139765</v>
      </c>
    </row>
    <row r="8" spans="1:2">
      <c r="A8" t="s">
        <v>17</v>
      </c>
      <c r="B8">
        <v>99591</v>
      </c>
    </row>
    <row r="9" spans="1:2">
      <c r="A9" t="s">
        <v>18</v>
      </c>
      <c r="B9">
        <v>78641</v>
      </c>
    </row>
    <row r="10" spans="1:2">
      <c r="A10" t="s">
        <v>19</v>
      </c>
      <c r="B10">
        <v>46343</v>
      </c>
    </row>
    <row r="11" spans="1:2">
      <c r="A11" t="s">
        <v>6</v>
      </c>
      <c r="B11">
        <v>1463205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0" sqref="C20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pane ySplit="2" topLeftCell="A3" activePane="bottomLeft" state="frozen"/>
      <selection/>
      <selection pane="bottomLeft" activeCell="F6" sqref="F6"/>
    </sheetView>
  </sheetViews>
  <sheetFormatPr defaultColWidth="9" defaultRowHeight="15"/>
  <cols>
    <col min="1" max="1" width="13.2857142857143" customWidth="1"/>
    <col min="2" max="2" width="20" customWidth="1"/>
    <col min="3" max="3" width="18.952380952381" customWidth="1"/>
    <col min="4" max="4" width="16.0952380952381" customWidth="1"/>
    <col min="5" max="5" width="15.0571428571429" customWidth="1"/>
    <col min="6" max="6" width="11.6761904761905" customWidth="1"/>
    <col min="7" max="7" width="14.0190476190476" customWidth="1"/>
    <col min="8" max="8" width="14.4285714285714" customWidth="1"/>
    <col min="9" max="9" width="16.1428571428571" customWidth="1"/>
    <col min="10" max="10" width="13" customWidth="1"/>
    <col min="11" max="11" width="17.1428571428571" customWidth="1"/>
    <col min="12" max="12" width="13.8571428571429" customWidth="1"/>
  </cols>
  <sheetData>
    <row r="1" ht="21" spans="1:12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21</v>
      </c>
      <c r="B2" s="1" t="s">
        <v>22</v>
      </c>
      <c r="C2" s="1" t="s">
        <v>0</v>
      </c>
      <c r="D2" s="1" t="s">
        <v>23</v>
      </c>
      <c r="E2" s="1" t="s">
        <v>12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7</v>
      </c>
    </row>
    <row r="3" spans="1:12">
      <c r="A3" s="1" t="s">
        <v>30</v>
      </c>
      <c r="B3" s="1" t="s">
        <v>31</v>
      </c>
      <c r="C3" s="1" t="s">
        <v>4</v>
      </c>
      <c r="D3" s="1" t="s">
        <v>32</v>
      </c>
      <c r="E3" s="1" t="s">
        <v>16</v>
      </c>
      <c r="F3" s="1">
        <v>2</v>
      </c>
      <c r="G3" s="2">
        <v>45000</v>
      </c>
      <c r="H3" s="2">
        <v>1000</v>
      </c>
      <c r="I3" s="2">
        <f t="shared" ref="I3:I24" si="0">F3*G3-H3</f>
        <v>89000</v>
      </c>
      <c r="J3" s="2">
        <f>I3*5%</f>
        <v>4450</v>
      </c>
      <c r="K3" s="2">
        <f t="shared" ref="K3:K24" si="1">I3+J3</f>
        <v>93450</v>
      </c>
      <c r="L3" s="1" t="s">
        <v>9</v>
      </c>
    </row>
    <row r="4" spans="1:12">
      <c r="A4" s="1" t="s">
        <v>30</v>
      </c>
      <c r="B4" s="1" t="s">
        <v>33</v>
      </c>
      <c r="C4" s="1" t="s">
        <v>2</v>
      </c>
      <c r="D4" s="1" t="s">
        <v>34</v>
      </c>
      <c r="E4" s="1" t="s">
        <v>15</v>
      </c>
      <c r="F4" s="1">
        <v>3</v>
      </c>
      <c r="G4" s="2">
        <v>3500</v>
      </c>
      <c r="H4" s="2">
        <v>500</v>
      </c>
      <c r="I4" s="2">
        <f t="shared" si="0"/>
        <v>10000</v>
      </c>
      <c r="J4" s="2">
        <f t="shared" ref="J4:J24" si="2">I4*5%</f>
        <v>500</v>
      </c>
      <c r="K4" s="2">
        <f t="shared" si="1"/>
        <v>10500</v>
      </c>
      <c r="L4" s="1" t="s">
        <v>10</v>
      </c>
    </row>
    <row r="5" spans="1:12">
      <c r="A5" s="1" t="s">
        <v>35</v>
      </c>
      <c r="B5" s="1" t="s">
        <v>36</v>
      </c>
      <c r="C5" s="1" t="s">
        <v>5</v>
      </c>
      <c r="D5" s="1" t="s">
        <v>37</v>
      </c>
      <c r="E5" s="1" t="s">
        <v>13</v>
      </c>
      <c r="F5" s="1">
        <v>7</v>
      </c>
      <c r="G5" s="2">
        <v>1500</v>
      </c>
      <c r="H5" s="2">
        <v>200</v>
      </c>
      <c r="I5" s="2">
        <f t="shared" si="0"/>
        <v>10300</v>
      </c>
      <c r="J5" s="2">
        <f t="shared" si="2"/>
        <v>515</v>
      </c>
      <c r="K5" s="2">
        <f t="shared" si="1"/>
        <v>10815</v>
      </c>
      <c r="L5" s="1" t="s">
        <v>11</v>
      </c>
    </row>
    <row r="6" spans="1:12">
      <c r="A6" s="1" t="s">
        <v>35</v>
      </c>
      <c r="B6" s="1" t="s">
        <v>38</v>
      </c>
      <c r="C6" s="1" t="s">
        <v>3</v>
      </c>
      <c r="D6" s="1" t="s">
        <v>39</v>
      </c>
      <c r="E6" s="1" t="s">
        <v>17</v>
      </c>
      <c r="F6" s="1">
        <v>4</v>
      </c>
      <c r="G6" s="2">
        <v>2500</v>
      </c>
      <c r="H6" s="2">
        <v>300</v>
      </c>
      <c r="I6" s="2">
        <f t="shared" si="0"/>
        <v>9700</v>
      </c>
      <c r="J6" s="2">
        <f t="shared" si="2"/>
        <v>485</v>
      </c>
      <c r="K6" s="2">
        <f t="shared" si="1"/>
        <v>10185</v>
      </c>
      <c r="L6" s="1" t="s">
        <v>9</v>
      </c>
    </row>
    <row r="7" spans="1:12">
      <c r="A7" s="1" t="s">
        <v>40</v>
      </c>
      <c r="B7" s="1" t="s">
        <v>41</v>
      </c>
      <c r="C7" s="1" t="s">
        <v>4</v>
      </c>
      <c r="D7" s="1" t="s">
        <v>42</v>
      </c>
      <c r="E7" s="1" t="s">
        <v>14</v>
      </c>
      <c r="F7" s="1">
        <v>6</v>
      </c>
      <c r="G7" s="2">
        <v>800</v>
      </c>
      <c r="H7" s="2">
        <v>100</v>
      </c>
      <c r="I7" s="2">
        <f t="shared" si="0"/>
        <v>4700</v>
      </c>
      <c r="J7" s="2">
        <f t="shared" si="2"/>
        <v>235</v>
      </c>
      <c r="K7" s="2">
        <f t="shared" si="1"/>
        <v>4935</v>
      </c>
      <c r="L7" s="1" t="s">
        <v>10</v>
      </c>
    </row>
    <row r="8" spans="1:12">
      <c r="A8" s="1" t="s">
        <v>40</v>
      </c>
      <c r="B8" s="1" t="s">
        <v>43</v>
      </c>
      <c r="C8" s="1" t="s">
        <v>2</v>
      </c>
      <c r="D8" s="1" t="s">
        <v>44</v>
      </c>
      <c r="E8" s="1" t="s">
        <v>16</v>
      </c>
      <c r="F8" s="1">
        <v>12</v>
      </c>
      <c r="G8" s="2">
        <v>700</v>
      </c>
      <c r="H8" s="2">
        <v>500</v>
      </c>
      <c r="I8" s="2">
        <f t="shared" si="0"/>
        <v>7900</v>
      </c>
      <c r="J8" s="2">
        <f t="shared" si="2"/>
        <v>395</v>
      </c>
      <c r="K8" s="2">
        <f t="shared" si="1"/>
        <v>8295</v>
      </c>
      <c r="L8" s="1" t="s">
        <v>9</v>
      </c>
    </row>
    <row r="9" spans="1:12">
      <c r="A9" s="1" t="s">
        <v>45</v>
      </c>
      <c r="B9" s="1" t="s">
        <v>46</v>
      </c>
      <c r="C9" s="1" t="s">
        <v>5</v>
      </c>
      <c r="D9" s="1" t="s">
        <v>47</v>
      </c>
      <c r="E9" s="1" t="s">
        <v>17</v>
      </c>
      <c r="F9" s="1">
        <v>2</v>
      </c>
      <c r="G9" s="2">
        <v>19500</v>
      </c>
      <c r="H9" s="2">
        <v>500</v>
      </c>
      <c r="I9" s="2">
        <f t="shared" si="0"/>
        <v>38500</v>
      </c>
      <c r="J9" s="2">
        <f t="shared" si="2"/>
        <v>1925</v>
      </c>
      <c r="K9" s="2">
        <f t="shared" si="1"/>
        <v>40425</v>
      </c>
      <c r="L9" s="1" t="s">
        <v>11</v>
      </c>
    </row>
    <row r="10" spans="1:12">
      <c r="A10" s="1" t="s">
        <v>45</v>
      </c>
      <c r="B10" s="1" t="s">
        <v>48</v>
      </c>
      <c r="C10" s="1" t="s">
        <v>3</v>
      </c>
      <c r="D10" s="1" t="s">
        <v>49</v>
      </c>
      <c r="E10" s="1" t="s">
        <v>19</v>
      </c>
      <c r="F10" s="1">
        <v>8</v>
      </c>
      <c r="G10" s="2">
        <v>1500</v>
      </c>
      <c r="H10" s="2">
        <v>100</v>
      </c>
      <c r="I10" s="2">
        <f t="shared" si="0"/>
        <v>11900</v>
      </c>
      <c r="J10" s="2">
        <f t="shared" si="2"/>
        <v>595</v>
      </c>
      <c r="K10" s="2">
        <f t="shared" si="1"/>
        <v>12495</v>
      </c>
      <c r="L10" s="1" t="s">
        <v>10</v>
      </c>
    </row>
    <row r="11" spans="1:12">
      <c r="A11" s="1" t="s">
        <v>50</v>
      </c>
      <c r="B11" s="1" t="s">
        <v>51</v>
      </c>
      <c r="C11" s="1" t="s">
        <v>3</v>
      </c>
      <c r="D11" s="1" t="s">
        <v>52</v>
      </c>
      <c r="E11" s="1" t="s">
        <v>15</v>
      </c>
      <c r="F11" s="1">
        <v>3</v>
      </c>
      <c r="G11" s="2">
        <v>3000</v>
      </c>
      <c r="H11" s="2">
        <v>200</v>
      </c>
      <c r="I11" s="2">
        <f t="shared" si="0"/>
        <v>8800</v>
      </c>
      <c r="J11" s="2">
        <f t="shared" si="2"/>
        <v>440</v>
      </c>
      <c r="K11" s="2">
        <f t="shared" si="1"/>
        <v>9240</v>
      </c>
      <c r="L11" s="1" t="s">
        <v>9</v>
      </c>
    </row>
    <row r="12" spans="1:12">
      <c r="A12" s="1" t="s">
        <v>50</v>
      </c>
      <c r="B12" s="1" t="s">
        <v>53</v>
      </c>
      <c r="C12" s="1" t="s">
        <v>4</v>
      </c>
      <c r="D12" s="1" t="s">
        <v>54</v>
      </c>
      <c r="E12" s="1" t="s">
        <v>18</v>
      </c>
      <c r="F12" s="1">
        <v>10</v>
      </c>
      <c r="G12" s="2">
        <v>1200</v>
      </c>
      <c r="H12" s="2">
        <v>500</v>
      </c>
      <c r="I12" s="2">
        <f t="shared" si="0"/>
        <v>11500</v>
      </c>
      <c r="J12" s="2">
        <f t="shared" si="2"/>
        <v>575</v>
      </c>
      <c r="K12" s="2">
        <f t="shared" si="1"/>
        <v>12075</v>
      </c>
      <c r="L12" s="1" t="s">
        <v>10</v>
      </c>
    </row>
    <row r="13" spans="1:12">
      <c r="A13" s="6">
        <v>46149</v>
      </c>
      <c r="B13" s="1" t="s">
        <v>55</v>
      </c>
      <c r="C13" s="1" t="s">
        <v>5</v>
      </c>
      <c r="D13" s="1" t="s">
        <v>32</v>
      </c>
      <c r="E13" s="1" t="s">
        <v>16</v>
      </c>
      <c r="F13" s="1">
        <v>23</v>
      </c>
      <c r="G13" s="2">
        <v>45000</v>
      </c>
      <c r="H13" s="2">
        <v>50</v>
      </c>
      <c r="I13" s="2">
        <f t="shared" si="0"/>
        <v>1034950</v>
      </c>
      <c r="J13" s="2">
        <f t="shared" si="2"/>
        <v>51747.5</v>
      </c>
      <c r="K13" s="2">
        <f t="shared" si="1"/>
        <v>1086697.5</v>
      </c>
      <c r="L13" s="1" t="s">
        <v>9</v>
      </c>
    </row>
    <row r="14" spans="1:12">
      <c r="A14" s="6">
        <v>46149</v>
      </c>
      <c r="B14" s="1" t="s">
        <v>56</v>
      </c>
      <c r="C14" s="1" t="s">
        <v>3</v>
      </c>
      <c r="D14" s="1" t="s">
        <v>34</v>
      </c>
      <c r="E14" s="1" t="s">
        <v>15</v>
      </c>
      <c r="F14" s="1">
        <v>12</v>
      </c>
      <c r="G14" s="2">
        <v>3500</v>
      </c>
      <c r="H14" s="2">
        <v>51</v>
      </c>
      <c r="I14" s="2">
        <f t="shared" si="0"/>
        <v>41949</v>
      </c>
      <c r="J14" s="2">
        <f t="shared" si="2"/>
        <v>2097.45</v>
      </c>
      <c r="K14" s="2">
        <f t="shared" si="1"/>
        <v>44046.45</v>
      </c>
      <c r="L14" s="1" t="s">
        <v>10</v>
      </c>
    </row>
    <row r="15" spans="1:12">
      <c r="A15" s="6">
        <v>46149</v>
      </c>
      <c r="B15" s="1" t="s">
        <v>57</v>
      </c>
      <c r="C15" s="1" t="s">
        <v>4</v>
      </c>
      <c r="D15" s="1" t="s">
        <v>37</v>
      </c>
      <c r="E15" s="1" t="s">
        <v>13</v>
      </c>
      <c r="F15" s="1">
        <v>3</v>
      </c>
      <c r="G15" s="2">
        <v>1500</v>
      </c>
      <c r="H15" s="2">
        <v>52</v>
      </c>
      <c r="I15" s="2">
        <f t="shared" si="0"/>
        <v>4448</v>
      </c>
      <c r="J15" s="2">
        <f t="shared" si="2"/>
        <v>222.4</v>
      </c>
      <c r="K15" s="2">
        <f t="shared" si="1"/>
        <v>4670.4</v>
      </c>
      <c r="L15" s="1" t="s">
        <v>11</v>
      </c>
    </row>
    <row r="16" spans="1:12">
      <c r="A16" s="7" t="s">
        <v>50</v>
      </c>
      <c r="B16" s="1" t="s">
        <v>58</v>
      </c>
      <c r="C16" s="1" t="s">
        <v>2</v>
      </c>
      <c r="D16" s="1" t="s">
        <v>39</v>
      </c>
      <c r="E16" s="1" t="s">
        <v>17</v>
      </c>
      <c r="F16" s="1">
        <v>5</v>
      </c>
      <c r="G16" s="2">
        <v>2500</v>
      </c>
      <c r="H16" s="2">
        <v>53</v>
      </c>
      <c r="I16" s="2">
        <f t="shared" si="0"/>
        <v>12447</v>
      </c>
      <c r="J16" s="2">
        <f t="shared" si="2"/>
        <v>622.35</v>
      </c>
      <c r="K16" s="2">
        <f t="shared" si="1"/>
        <v>13069.35</v>
      </c>
      <c r="L16" s="1" t="s">
        <v>9</v>
      </c>
    </row>
    <row r="17" spans="1:12">
      <c r="A17" s="7" t="s">
        <v>50</v>
      </c>
      <c r="B17" s="1" t="s">
        <v>59</v>
      </c>
      <c r="C17" s="1" t="s">
        <v>5</v>
      </c>
      <c r="D17" s="1" t="s">
        <v>42</v>
      </c>
      <c r="E17" s="1" t="s">
        <v>14</v>
      </c>
      <c r="F17" s="1">
        <v>6</v>
      </c>
      <c r="G17" s="2">
        <v>800</v>
      </c>
      <c r="H17" s="2">
        <v>54</v>
      </c>
      <c r="I17" s="2">
        <f t="shared" si="0"/>
        <v>4746</v>
      </c>
      <c r="J17" s="2">
        <f t="shared" si="2"/>
        <v>237.3</v>
      </c>
      <c r="K17" s="2">
        <f t="shared" si="1"/>
        <v>4983.3</v>
      </c>
      <c r="L17" s="1" t="s">
        <v>10</v>
      </c>
    </row>
    <row r="18" spans="1:12">
      <c r="A18" s="8">
        <v>46149</v>
      </c>
      <c r="B18" s="1" t="s">
        <v>60</v>
      </c>
      <c r="C18" s="1" t="s">
        <v>3</v>
      </c>
      <c r="D18" s="1" t="s">
        <v>44</v>
      </c>
      <c r="E18" s="1" t="s">
        <v>16</v>
      </c>
      <c r="F18" s="1">
        <v>6</v>
      </c>
      <c r="G18" s="2">
        <v>700</v>
      </c>
      <c r="H18" s="2">
        <v>55</v>
      </c>
      <c r="I18" s="2">
        <f t="shared" si="0"/>
        <v>4145</v>
      </c>
      <c r="J18" s="2">
        <f t="shared" si="2"/>
        <v>207.25</v>
      </c>
      <c r="K18" s="2">
        <f t="shared" si="1"/>
        <v>4352.25</v>
      </c>
      <c r="L18" s="1" t="s">
        <v>9</v>
      </c>
    </row>
    <row r="19" spans="1:12">
      <c r="A19" s="8">
        <v>46149</v>
      </c>
      <c r="B19" s="1" t="s">
        <v>61</v>
      </c>
      <c r="C19" s="1" t="s">
        <v>4</v>
      </c>
      <c r="D19" s="1" t="s">
        <v>47</v>
      </c>
      <c r="E19" s="1" t="s">
        <v>17</v>
      </c>
      <c r="F19" s="1">
        <v>2</v>
      </c>
      <c r="G19" s="2">
        <v>19500</v>
      </c>
      <c r="H19" s="2">
        <v>56</v>
      </c>
      <c r="I19" s="2">
        <f t="shared" si="0"/>
        <v>38944</v>
      </c>
      <c r="J19" s="2">
        <f t="shared" si="2"/>
        <v>1947.2</v>
      </c>
      <c r="K19" s="2">
        <f t="shared" si="1"/>
        <v>40891.2</v>
      </c>
      <c r="L19" s="1" t="s">
        <v>11</v>
      </c>
    </row>
    <row r="20" spans="1:12">
      <c r="A20" s="8">
        <v>46149</v>
      </c>
      <c r="B20" s="1" t="s">
        <v>62</v>
      </c>
      <c r="C20" s="1" t="s">
        <v>5</v>
      </c>
      <c r="D20" s="1" t="s">
        <v>49</v>
      </c>
      <c r="E20" s="1" t="s">
        <v>19</v>
      </c>
      <c r="F20" s="1">
        <v>23</v>
      </c>
      <c r="G20" s="2">
        <v>1500</v>
      </c>
      <c r="H20" s="2">
        <v>57</v>
      </c>
      <c r="I20" s="2">
        <f t="shared" si="0"/>
        <v>34443</v>
      </c>
      <c r="J20" s="2">
        <f t="shared" si="2"/>
        <v>1722.15</v>
      </c>
      <c r="K20" s="2">
        <f t="shared" si="1"/>
        <v>36165.15</v>
      </c>
      <c r="L20" s="1" t="s">
        <v>10</v>
      </c>
    </row>
    <row r="21" spans="1:12">
      <c r="A21" s="8" t="s">
        <v>63</v>
      </c>
      <c r="B21" s="1" t="s">
        <v>64</v>
      </c>
      <c r="C21" s="1" t="s">
        <v>3</v>
      </c>
      <c r="D21" s="1" t="s">
        <v>52</v>
      </c>
      <c r="E21" s="1" t="s">
        <v>15</v>
      </c>
      <c r="F21" s="1">
        <v>4</v>
      </c>
      <c r="G21" s="2">
        <v>3000</v>
      </c>
      <c r="H21" s="2">
        <v>58</v>
      </c>
      <c r="I21" s="2">
        <f t="shared" si="0"/>
        <v>11942</v>
      </c>
      <c r="J21" s="2">
        <f t="shared" si="2"/>
        <v>597.1</v>
      </c>
      <c r="K21" s="2">
        <f t="shared" si="1"/>
        <v>12539.1</v>
      </c>
      <c r="L21" s="1" t="s">
        <v>9</v>
      </c>
    </row>
    <row r="22" spans="1:12">
      <c r="A22" s="8" t="s">
        <v>63</v>
      </c>
      <c r="B22" s="1" t="s">
        <v>65</v>
      </c>
      <c r="C22" s="1" t="s">
        <v>4</v>
      </c>
      <c r="D22" s="1" t="s">
        <v>54</v>
      </c>
      <c r="E22" s="1" t="s">
        <v>18</v>
      </c>
      <c r="F22" s="1">
        <v>56</v>
      </c>
      <c r="G22" s="2">
        <v>1200</v>
      </c>
      <c r="H22" s="2">
        <v>59</v>
      </c>
      <c r="I22" s="2">
        <f t="shared" si="0"/>
        <v>67141</v>
      </c>
      <c r="J22" s="2">
        <f t="shared" si="2"/>
        <v>3357.05</v>
      </c>
      <c r="K22" s="2">
        <f t="shared" si="1"/>
        <v>70498.05</v>
      </c>
      <c r="L22" s="1" t="s">
        <v>10</v>
      </c>
    </row>
    <row r="23" spans="1:12">
      <c r="A23" s="8" t="s">
        <v>63</v>
      </c>
      <c r="B23" s="1" t="s">
        <v>66</v>
      </c>
      <c r="C23" s="1" t="s">
        <v>5</v>
      </c>
      <c r="D23" s="1" t="s">
        <v>32</v>
      </c>
      <c r="E23" s="1" t="s">
        <v>16</v>
      </c>
      <c r="F23" s="1">
        <v>20</v>
      </c>
      <c r="G23" s="2">
        <v>190</v>
      </c>
      <c r="H23" s="2">
        <v>30</v>
      </c>
      <c r="I23" s="2">
        <f t="shared" si="0"/>
        <v>3770</v>
      </c>
      <c r="J23" s="2">
        <f t="shared" si="2"/>
        <v>188.5</v>
      </c>
      <c r="K23" s="2">
        <f t="shared" si="1"/>
        <v>3958.5</v>
      </c>
      <c r="L23" s="1" t="s">
        <v>9</v>
      </c>
    </row>
    <row r="24" spans="1:12">
      <c r="A24" s="8" t="s">
        <v>67</v>
      </c>
      <c r="B24" s="1" t="s">
        <v>68</v>
      </c>
      <c r="C24" s="1" t="s">
        <v>3</v>
      </c>
      <c r="D24" s="1" t="s">
        <v>34</v>
      </c>
      <c r="E24" s="1" t="s">
        <v>15</v>
      </c>
      <c r="F24" s="1">
        <v>10</v>
      </c>
      <c r="G24" s="2">
        <v>500</v>
      </c>
      <c r="H24" s="2">
        <v>20</v>
      </c>
      <c r="I24" s="2">
        <f t="shared" si="0"/>
        <v>4980</v>
      </c>
      <c r="J24" s="2">
        <f t="shared" si="2"/>
        <v>249</v>
      </c>
      <c r="K24" s="2">
        <f t="shared" si="1"/>
        <v>5229</v>
      </c>
      <c r="L24" s="1" t="s">
        <v>11</v>
      </c>
    </row>
  </sheetData>
  <mergeCells count="1">
    <mergeCell ref="A1:L1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G14" sqref="G14"/>
    </sheetView>
  </sheetViews>
  <sheetFormatPr defaultColWidth="9" defaultRowHeight="15" outlineLevelCol="1"/>
  <cols>
    <col min="1" max="1" width="27.1428571428571" style="1" customWidth="1"/>
    <col min="2" max="2" width="19.4285714285714" style="1" customWidth="1"/>
    <col min="3" max="16384" width="9.14285714285714" style="1"/>
  </cols>
  <sheetData>
    <row r="1" spans="1:2">
      <c r="A1" s="1" t="s">
        <v>69</v>
      </c>
      <c r="B1" s="1" t="s">
        <v>70</v>
      </c>
    </row>
    <row r="2" s="1" customFormat="1" spans="1:2">
      <c r="A2" s="1" t="s">
        <v>27</v>
      </c>
      <c r="B2" s="2">
        <f>SUM(ss!I3:I24)</f>
        <v>1466205</v>
      </c>
    </row>
    <row r="3" s="1" customFormat="1" spans="1:2">
      <c r="A3" s="1" t="s">
        <v>71</v>
      </c>
      <c r="B3" s="2">
        <f>SUM(ss!K3:K24)</f>
        <v>1539515.25</v>
      </c>
    </row>
    <row r="4" s="1" customFormat="1" spans="1:2">
      <c r="A4" s="1" t="s">
        <v>72</v>
      </c>
      <c r="B4" s="1">
        <f>SUM(ss!F3:F24)</f>
        <v>227</v>
      </c>
    </row>
    <row r="5" s="1" customFormat="1" spans="1:2">
      <c r="A5" s="1" t="s">
        <v>73</v>
      </c>
      <c r="B5" s="2">
        <f>AVERAGE(ss!K3:K24)</f>
        <v>69977.9659090909</v>
      </c>
    </row>
    <row r="6" s="1" customFormat="1" spans="1:2">
      <c r="A6" s="1" t="s">
        <v>74</v>
      </c>
      <c r="B6" s="2">
        <f>MAX(ss!K3:K24)</f>
        <v>1086697.5</v>
      </c>
    </row>
    <row r="7" s="1" customFormat="1" spans="1:2">
      <c r="A7" s="1" t="s">
        <v>75</v>
      </c>
      <c r="B7" s="2">
        <f>MIN(ss!K3:K24)</f>
        <v>3958.5</v>
      </c>
    </row>
    <row r="8" s="1" customFormat="1" spans="1:2">
      <c r="A8" s="3" t="s">
        <v>2</v>
      </c>
      <c r="B8" s="2">
        <f>SUMIF(ss!C3:C24,A8,ss!K3:K24)</f>
        <v>31864.35</v>
      </c>
    </row>
    <row r="9" spans="1:2">
      <c r="A9" s="4" t="s">
        <v>5</v>
      </c>
      <c r="B9" s="2">
        <f>SUMIF(ss!C4:C25,A9,ss!K4:K25)</f>
        <v>1183044.45</v>
      </c>
    </row>
    <row r="10" spans="1:2">
      <c r="A10" s="3" t="s">
        <v>3</v>
      </c>
      <c r="B10" s="2">
        <f>SUMIF(ss!C5:C26,A10,ss!K5:K26)</f>
        <v>98086.8</v>
      </c>
    </row>
    <row r="11" spans="1:2">
      <c r="A11" s="4" t="s">
        <v>4</v>
      </c>
      <c r="B11" s="2">
        <f>SUMIF(ss!C6:C27,A11,ss!K6:K27)</f>
        <v>133069.65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Sheet5</vt:lpstr>
      <vt:lpstr>Dashboard</vt:lpstr>
      <vt:lpstr>ss</vt:lpstr>
      <vt:lpstr>Sales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2026-07-23T09:34:00Z</dcterms:created>
  <dcterms:modified xsi:type="dcterms:W3CDTF">2026-08-03T18:54:49Z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79D859B84E8E446E9E049DB85FA9EB81_13</vt:lpwstr>
  </property>
  <property fmtid="{D5CDD505-2E9C-101B-9397-08002B2CF9AE}" pid="3" name="KSOProductBuildVer">
    <vt:lpwstr>1033-12.2.0.17562</vt:lpwstr>
  </property>
</Properties>
</file>