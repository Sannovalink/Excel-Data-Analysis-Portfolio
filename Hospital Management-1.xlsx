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170"/>
  </bookViews>
  <sheets>
    <sheet name="Dashboard" sheetId="1" r:id="rId1"/>
    <sheet name="Patients" sheetId="2" r:id="rId2"/>
    <sheet name="Sheet9" sheetId="19" state="hidden" r:id="rId3"/>
    <sheet name="Doctors" sheetId="3" r:id="rId4"/>
    <sheet name="Sheet8" sheetId="18" state="hidden" r:id="rId5"/>
    <sheet name="Departments" sheetId="4" r:id="rId6"/>
    <sheet name="Sheet4" sheetId="14" state="hidden" r:id="rId7"/>
    <sheet name="Appointments" sheetId="5" r:id="rId8"/>
    <sheet name="Sheet10" sheetId="20" state="hidden" r:id="rId9"/>
    <sheet name="Admissions" sheetId="6" r:id="rId10"/>
    <sheet name="Sheet7" sheetId="17" state="hidden" r:id="rId11"/>
    <sheet name="Treatments" sheetId="7" r:id="rId12"/>
    <sheet name="Pharmacy" sheetId="8" r:id="rId13"/>
    <sheet name="Prescriptions" sheetId="9" r:id="rId14"/>
    <sheet name="Billing" sheetId="10" r:id="rId15"/>
    <sheet name="Summary " sheetId="11" r:id="rId16"/>
  </sheets>
  <definedNames>
    <definedName name="Slicer_Department">#N/A</definedName>
    <definedName name="Slicer_Doctor_Name">#N/A</definedName>
    <definedName name="Slicer_Patient_Name">#N/A</definedName>
    <definedName name="Slicer_Ward">#N/A</definedName>
  </definedNames>
  <calcPr calcId="191029"/>
  <pivotCaches>
    <pivotCache cacheId="0" r:id="rId17"/>
    <pivotCache cacheId="1" r:id="rId18"/>
    <pivotCache cacheId="2" r:id="rId19"/>
    <pivotCache cacheId="3" r:id="rId20"/>
    <pivotCache cacheId="4" r:id="rId21"/>
  </pivotCaches>
  <extLst>
    <ext xmlns:x14="http://schemas.microsoft.com/office/spreadsheetml/2009/9/main" uri="{BBE1A952-AA13-448e-AADC-164F8A28A991}">
      <x14:slicerCaches>
        <x14:slicerCache r:id="rId25"/>
        <x14:slicerCache r:id="rId24"/>
        <x14:slicerCache r:id="rId23"/>
        <x14:slicerCache r:id="rId2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<sst xmlns="http://schemas.openxmlformats.org/spreadsheetml/2006/main" count="1654" uniqueCount="582">
  <si>
    <t>HOSPITAL MANAGEMENT DASHBOARD</t>
  </si>
  <si>
    <t>Metric</t>
  </si>
  <si>
    <t>Value</t>
  </si>
  <si>
    <t>Total Patients</t>
  </si>
  <si>
    <t>Total Doctors</t>
  </si>
  <si>
    <t>Total Departments</t>
  </si>
  <si>
    <t>Total Revenue</t>
  </si>
  <si>
    <t>Ward A Patients</t>
  </si>
  <si>
    <t>Ward B Patients</t>
  </si>
  <si>
    <t>Ward C Patients</t>
  </si>
  <si>
    <t>Ward D Patients</t>
  </si>
  <si>
    <t>Ward E Patients</t>
  </si>
  <si>
    <t>Patient ID</t>
  </si>
  <si>
    <t>First Name</t>
  </si>
  <si>
    <t>Last Name</t>
  </si>
  <si>
    <t>Gender</t>
  </si>
  <si>
    <t>DOB</t>
  </si>
  <si>
    <t>Age</t>
  </si>
  <si>
    <t>Blood</t>
  </si>
  <si>
    <t>Phone</t>
  </si>
  <si>
    <t>State</t>
  </si>
  <si>
    <t>Insurance</t>
  </si>
  <si>
    <t>P001</t>
  </si>
  <si>
    <t xml:space="preserve">James </t>
  </si>
  <si>
    <t>Smith</t>
  </si>
  <si>
    <t>Male</t>
  </si>
  <si>
    <t>O+</t>
  </si>
  <si>
    <t>0800000000</t>
  </si>
  <si>
    <t>California</t>
  </si>
  <si>
    <t>Yes</t>
  </si>
  <si>
    <t>P002</t>
  </si>
  <si>
    <t>Mary</t>
  </si>
  <si>
    <t>Johnson</t>
  </si>
  <si>
    <t>Female</t>
  </si>
  <si>
    <t>0800000001</t>
  </si>
  <si>
    <t>Texas</t>
  </si>
  <si>
    <t>P003</t>
  </si>
  <si>
    <t>John</t>
  </si>
  <si>
    <t>Williams</t>
  </si>
  <si>
    <t>0800000002</t>
  </si>
  <si>
    <t>Florida</t>
  </si>
  <si>
    <t>P004</t>
  </si>
  <si>
    <t>Patricia</t>
  </si>
  <si>
    <t>Brown</t>
  </si>
  <si>
    <t>0800000003</t>
  </si>
  <si>
    <t>New York</t>
  </si>
  <si>
    <t>P005</t>
  </si>
  <si>
    <t>Robert</t>
  </si>
  <si>
    <t>Jones</t>
  </si>
  <si>
    <t>0800000004</t>
  </si>
  <si>
    <t>Illinois</t>
  </si>
  <si>
    <t>P006</t>
  </si>
  <si>
    <t>Jennifer</t>
  </si>
  <si>
    <t>Garcia</t>
  </si>
  <si>
    <t>0800000005</t>
  </si>
  <si>
    <t>Ohio</t>
  </si>
  <si>
    <t>P007</t>
  </si>
  <si>
    <t>Michael</t>
  </si>
  <si>
    <t>Miller</t>
  </si>
  <si>
    <t>0800000006</t>
  </si>
  <si>
    <t>Georgia</t>
  </si>
  <si>
    <t>P008</t>
  </si>
  <si>
    <t>Linda</t>
  </si>
  <si>
    <t>Davis</t>
  </si>
  <si>
    <t>0800000007</t>
  </si>
  <si>
    <t>Arizona</t>
  </si>
  <si>
    <t>P009</t>
  </si>
  <si>
    <t>William</t>
  </si>
  <si>
    <t>Rodriguez</t>
  </si>
  <si>
    <t>0800000008</t>
  </si>
  <si>
    <t>Washington</t>
  </si>
  <si>
    <t>P010</t>
  </si>
  <si>
    <t>Elizabeth</t>
  </si>
  <si>
    <t>Martinez</t>
  </si>
  <si>
    <t>0800000009</t>
  </si>
  <si>
    <t>Colorado</t>
  </si>
  <si>
    <t>P011</t>
  </si>
  <si>
    <t>David</t>
  </si>
  <si>
    <t>0800000010</t>
  </si>
  <si>
    <t>P012</t>
  </si>
  <si>
    <t>Susan</t>
  </si>
  <si>
    <t>0800000011</t>
  </si>
  <si>
    <t>P013</t>
  </si>
  <si>
    <t>Richard</t>
  </si>
  <si>
    <t>0800000012</t>
  </si>
  <si>
    <t>P014</t>
  </si>
  <si>
    <t>Jessica</t>
  </si>
  <si>
    <t>0800000013</t>
  </si>
  <si>
    <t>P015</t>
  </si>
  <si>
    <t>Joseph</t>
  </si>
  <si>
    <t>0800000014</t>
  </si>
  <si>
    <t>P016</t>
  </si>
  <si>
    <t>Sarah</t>
  </si>
  <si>
    <t>0800000015</t>
  </si>
  <si>
    <t>P017</t>
  </si>
  <si>
    <t>Thomas</t>
  </si>
  <si>
    <t>0800000016</t>
  </si>
  <si>
    <t>P018</t>
  </si>
  <si>
    <t>Karen</t>
  </si>
  <si>
    <t>0800000017</t>
  </si>
  <si>
    <t>P019</t>
  </si>
  <si>
    <t>Charles</t>
  </si>
  <si>
    <t>0800000018</t>
  </si>
  <si>
    <t>P020</t>
  </si>
  <si>
    <t>Nancy</t>
  </si>
  <si>
    <t>0800000019</t>
  </si>
  <si>
    <t>P021</t>
  </si>
  <si>
    <t>Daniel</t>
  </si>
  <si>
    <t>0800000020</t>
  </si>
  <si>
    <t>P022</t>
  </si>
  <si>
    <t>Lisa</t>
  </si>
  <si>
    <t>0800000021</t>
  </si>
  <si>
    <t>P023</t>
  </si>
  <si>
    <t>Matthew</t>
  </si>
  <si>
    <t>0800000022</t>
  </si>
  <si>
    <t>P024</t>
  </si>
  <si>
    <t>Betty</t>
  </si>
  <si>
    <t>0800000023</t>
  </si>
  <si>
    <t>P025</t>
  </si>
  <si>
    <t>Anthony</t>
  </si>
  <si>
    <t>0800000024</t>
  </si>
  <si>
    <t>P026</t>
  </si>
  <si>
    <t>Sandra</t>
  </si>
  <si>
    <t>0800000025</t>
  </si>
  <si>
    <t>P027</t>
  </si>
  <si>
    <t>Mark</t>
  </si>
  <si>
    <t>0800000026</t>
  </si>
  <si>
    <t>P028</t>
  </si>
  <si>
    <t>Ashley</t>
  </si>
  <si>
    <t>0800000027</t>
  </si>
  <si>
    <t>P029</t>
  </si>
  <si>
    <t>Donald</t>
  </si>
  <si>
    <t>0800000028</t>
  </si>
  <si>
    <t>P030</t>
  </si>
  <si>
    <t>Kimberly</t>
  </si>
  <si>
    <t>0800000029</t>
  </si>
  <si>
    <t>P031</t>
  </si>
  <si>
    <t>Steven</t>
  </si>
  <si>
    <t>0800000030</t>
  </si>
  <si>
    <t>P032</t>
  </si>
  <si>
    <t>Emily</t>
  </si>
  <si>
    <t>0800000031</t>
  </si>
  <si>
    <t>P033</t>
  </si>
  <si>
    <t>Paul</t>
  </si>
  <si>
    <t>0800000032</t>
  </si>
  <si>
    <t>P034</t>
  </si>
  <si>
    <t>Donna</t>
  </si>
  <si>
    <t>0800000033</t>
  </si>
  <si>
    <t>P035</t>
  </si>
  <si>
    <t>Andrew</t>
  </si>
  <si>
    <t>0800000034</t>
  </si>
  <si>
    <t>P036</t>
  </si>
  <si>
    <t>Michelle</t>
  </si>
  <si>
    <t>0800000035</t>
  </si>
  <si>
    <t>P037</t>
  </si>
  <si>
    <t>Joshua</t>
  </si>
  <si>
    <t>0800000036</t>
  </si>
  <si>
    <t>P038</t>
  </si>
  <si>
    <t>Carol</t>
  </si>
  <si>
    <t>0800000037</t>
  </si>
  <si>
    <t>P039</t>
  </si>
  <si>
    <t>Kenneth</t>
  </si>
  <si>
    <t>0800000038</t>
  </si>
  <si>
    <t>P040</t>
  </si>
  <si>
    <t>Amanda</t>
  </si>
  <si>
    <t>0800000039</t>
  </si>
  <si>
    <t>P041</t>
  </si>
  <si>
    <t>Kevin</t>
  </si>
  <si>
    <t>0800000040</t>
  </si>
  <si>
    <t>P042</t>
  </si>
  <si>
    <t>Melissa</t>
  </si>
  <si>
    <t>0800000041</t>
  </si>
  <si>
    <t>P043</t>
  </si>
  <si>
    <t>Brian</t>
  </si>
  <si>
    <t>0800000042</t>
  </si>
  <si>
    <t>P044</t>
  </si>
  <si>
    <t>Deborah</t>
  </si>
  <si>
    <t>0800000043</t>
  </si>
  <si>
    <t>P045</t>
  </si>
  <si>
    <t>George</t>
  </si>
  <si>
    <t>0800000044</t>
  </si>
  <si>
    <t>P046</t>
  </si>
  <si>
    <t>Stephanie</t>
  </si>
  <si>
    <t>0800000045</t>
  </si>
  <si>
    <t>P047</t>
  </si>
  <si>
    <t>Edward</t>
  </si>
  <si>
    <t>0800000046</t>
  </si>
  <si>
    <t>P048</t>
  </si>
  <si>
    <t>Rebecca</t>
  </si>
  <si>
    <t>0800000047</t>
  </si>
  <si>
    <t>P049</t>
  </si>
  <si>
    <t>Ronald</t>
  </si>
  <si>
    <t>0800000048</t>
  </si>
  <si>
    <t>P050</t>
  </si>
  <si>
    <t>Laura</t>
  </si>
  <si>
    <t>0800000049</t>
  </si>
  <si>
    <t xml:space="preserve">Doctor ID </t>
  </si>
  <si>
    <t>Doctor Name</t>
  </si>
  <si>
    <t>Department</t>
  </si>
  <si>
    <t>Specialty</t>
  </si>
  <si>
    <t>Qualification</t>
  </si>
  <si>
    <t>Email</t>
  </si>
  <si>
    <t>Years</t>
  </si>
  <si>
    <t>DR001</t>
  </si>
  <si>
    <t>Dr. Emily Carter</t>
  </si>
  <si>
    <t>Cardiology</t>
  </si>
  <si>
    <t>Specialist</t>
  </si>
  <si>
    <t>MBBS</t>
  </si>
  <si>
    <t>doc1@hosp.com</t>
  </si>
  <si>
    <t>DR002</t>
  </si>
  <si>
    <t>Dr. Michael Brown</t>
  </si>
  <si>
    <t>Neurology</t>
  </si>
  <si>
    <t>doc2@hosp.com</t>
  </si>
  <si>
    <t>DR003</t>
  </si>
  <si>
    <t>Dr. Sarah Johnson</t>
  </si>
  <si>
    <t>Pediatrics</t>
  </si>
  <si>
    <t>doc3@hosp.com</t>
  </si>
  <si>
    <t>DR004</t>
  </si>
  <si>
    <t>Dr. David Wilson</t>
  </si>
  <si>
    <t>Orthopedics</t>
  </si>
  <si>
    <t>doc4@hosp.com</t>
  </si>
  <si>
    <t>DR005</t>
  </si>
  <si>
    <t>Dr. Lisa Anderson</t>
  </si>
  <si>
    <t>Oncology</t>
  </si>
  <si>
    <t>doc5@hosp.com</t>
  </si>
  <si>
    <t>DR006</t>
  </si>
  <si>
    <t>Dr. James Taylor</t>
  </si>
  <si>
    <t>doc6@hosp.com</t>
  </si>
  <si>
    <t>DR007</t>
  </si>
  <si>
    <t>Dr. Jennifer Moore</t>
  </si>
  <si>
    <t>doc7@hosp.com</t>
  </si>
  <si>
    <t>DR008</t>
  </si>
  <si>
    <t>Dr. Robert Thomas</t>
  </si>
  <si>
    <t>doc8@hosp.com</t>
  </si>
  <si>
    <t>DR009</t>
  </si>
  <si>
    <t>Dr. Karen White</t>
  </si>
  <si>
    <t>doc9@hosp.com</t>
  </si>
  <si>
    <t>DR010</t>
  </si>
  <si>
    <t>Dr. Daniel Harris</t>
  </si>
  <si>
    <t>doc10@hosp.com</t>
  </si>
  <si>
    <t>Dept ID</t>
  </si>
  <si>
    <t>Floor</t>
  </si>
  <si>
    <t>Head</t>
  </si>
  <si>
    <t>Beds</t>
  </si>
  <si>
    <t>D01</t>
  </si>
  <si>
    <t>D02</t>
  </si>
  <si>
    <t>D03</t>
  </si>
  <si>
    <t>D04</t>
  </si>
  <si>
    <t>D05</t>
  </si>
  <si>
    <t xml:space="preserve"> </t>
  </si>
  <si>
    <t>Count of Appointment ID</t>
  </si>
  <si>
    <t>Grand Total</t>
  </si>
  <si>
    <t>Appointment ID</t>
  </si>
  <si>
    <t>Patient Name</t>
  </si>
  <si>
    <t>Date</t>
  </si>
  <si>
    <t>Time</t>
  </si>
  <si>
    <t>Type</t>
  </si>
  <si>
    <t>Status</t>
  </si>
  <si>
    <t>A001</t>
  </si>
  <si>
    <t>10:00</t>
  </si>
  <si>
    <t>Completed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</si>
  <si>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</si>
  <si>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</si>
  <si>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</si>
  <si>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</si>
  <si>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</si>
  <si>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</si>
  <si>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</si>
  <si>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</si>
  <si>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</si>
  <si>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</si>
  <si>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</si>
  <si>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</si>
  <si>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</si>
  <si>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</si>
  <si>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</si>
  <si>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</si>
  <si>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</si>
  <si>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</si>
  <si>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</si>
  <si>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</si>
  <si>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</si>
  <si>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</si>
  <si>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</si>
  <si>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</si>
  <si>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</si>
  <si>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</si>
  <si>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</si>
  <si>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</si>
  <si>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</si>
  <si>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</si>
  <si>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</si>
  <si>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</si>
  <si>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</si>
  <si>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</si>
  <si>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</si>
  <si>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</si>
  <si>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</si>
  <si>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</si>
  <si>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</si>
  <si>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</si>
  <si>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</si>
  <si>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</si>
  <si>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</si>
  <si>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</si>
  <si>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</si>
  <si>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</si>
  <si>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</si>
  <si>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</si>
  <si>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</si>
  <si>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Admission ID</t>
  </si>
  <si>
    <t>Ward</t>
  </si>
  <si>
    <t>Bed</t>
  </si>
  <si>
    <t>Admission</t>
  </si>
  <si>
    <t>Discharge</t>
  </si>
  <si>
    <t>Length</t>
  </si>
  <si>
    <t>Diagnosis</t>
  </si>
  <si>
    <t>AD001</t>
  </si>
  <si>
    <t>Ward A</t>
  </si>
  <si>
    <t>AD002</t>
  </si>
  <si>
    <t>AD003</t>
  </si>
  <si>
    <t>AD004</t>
  </si>
  <si>
    <t>AD005</t>
  </si>
  <si>
    <t>Ward B</t>
  </si>
  <si>
    <t>AD006</t>
  </si>
  <si>
    <t>AD007</t>
  </si>
  <si>
    <t>AD008</t>
  </si>
  <si>
    <t>AD009</t>
  </si>
  <si>
    <t>AD010</t>
  </si>
  <si>
    <t>AD011</t>
  </si>
  <si>
    <t>AD012</t>
  </si>
  <si>
    <t>AD013</t>
  </si>
  <si>
    <t>AD014</t>
  </si>
  <si>
    <t>AD015</t>
  </si>
  <si>
    <t>AD016</t>
  </si>
  <si>
    <t>AD017</t>
  </si>
  <si>
    <t>AD018</t>
  </si>
  <si>
    <t>AD019</t>
  </si>
  <si>
    <t>Ward C</t>
  </si>
  <si>
    <t>AD020</t>
  </si>
  <si>
    <t>AD021</t>
  </si>
  <si>
    <t>AD022</t>
  </si>
  <si>
    <t>AD023</t>
  </si>
  <si>
    <t>AD024</t>
  </si>
  <si>
    <t>AD025</t>
  </si>
  <si>
    <t>AD026</t>
  </si>
  <si>
    <t>AD027</t>
  </si>
  <si>
    <t>AD028</t>
  </si>
  <si>
    <t>Ward D</t>
  </si>
  <si>
    <t>AD029</t>
  </si>
  <si>
    <t>AD030</t>
  </si>
  <si>
    <t>AD031</t>
  </si>
  <si>
    <t>AD032</t>
  </si>
  <si>
    <t>AD033</t>
  </si>
  <si>
    <t>AD034</t>
  </si>
  <si>
    <t>AD035</t>
  </si>
  <si>
    <t>AD036</t>
  </si>
  <si>
    <t>AD037</t>
  </si>
  <si>
    <t>AD038</t>
  </si>
  <si>
    <t>AD039</t>
  </si>
  <si>
    <t>Ward E</t>
  </si>
  <si>
    <t>AD040</t>
  </si>
  <si>
    <t>AD041</t>
  </si>
  <si>
    <t>AD042</t>
  </si>
  <si>
    <t>AD043</t>
  </si>
  <si>
    <t>AD044</t>
  </si>
  <si>
    <t>AD045</t>
  </si>
  <si>
    <t>AD046</t>
  </si>
  <si>
    <t>AD047</t>
  </si>
  <si>
    <t>AD048</t>
  </si>
  <si>
    <t>AD049</t>
  </si>
  <si>
    <t>AD050</t>
  </si>
  <si>
    <t>Treatment</t>
  </si>
  <si>
    <t>Sum of Cost</t>
  </si>
  <si>
    <t>Antenatal</t>
  </si>
  <si>
    <t>Blood Test</t>
  </si>
  <si>
    <t>Consultation</t>
  </si>
  <si>
    <t>CT Scan</t>
  </si>
  <si>
    <t>Dental Check Up</t>
  </si>
  <si>
    <t>Emergency</t>
  </si>
  <si>
    <t>Eye Exaimination</t>
  </si>
  <si>
    <t>General Check Up</t>
  </si>
  <si>
    <t>Laboratory Test</t>
  </si>
  <si>
    <t>MRI Scan</t>
  </si>
  <si>
    <t>Physiotherapy</t>
  </si>
  <si>
    <t>Postnatal Care</t>
  </si>
  <si>
    <t>Surgery</t>
  </si>
  <si>
    <t>Ultrasound</t>
  </si>
  <si>
    <t>Vaccination</t>
  </si>
  <si>
    <t>X-ray</t>
  </si>
  <si>
    <t>Treatment ID</t>
  </si>
  <si>
    <t>Cost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</si>
  <si>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</si>
  <si>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</si>
  <si>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</si>
  <si>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</si>
  <si>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</si>
  <si>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</si>
  <si>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</si>
  <si>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</si>
  <si>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</si>
  <si>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</si>
  <si>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</si>
  <si>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</si>
  <si>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</si>
  <si>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</si>
  <si>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</si>
  <si>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</si>
  <si>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</si>
  <si>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</si>
  <si>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</si>
  <si>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</si>
  <si>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</si>
  <si>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</si>
  <si>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</si>
  <si>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</si>
  <si>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</si>
  <si>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</si>
  <si>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</si>
  <si>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</si>
  <si>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</si>
  <si>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</si>
  <si>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</si>
  <si>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</si>
  <si>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</si>
  <si>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</si>
  <si>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</si>
  <si>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</si>
  <si>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</si>
  <si>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</si>
  <si>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</si>
  <si>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</si>
  <si>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</si>
  <si>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</si>
  <si>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</si>
  <si>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</si>
  <si>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</si>
  <si>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</si>
  <si>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</si>
  <si>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</si>
  <si>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</si>
  <si>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</si>
  <si>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Medicine ID</t>
  </si>
  <si>
    <t>Medicine</t>
  </si>
  <si>
    <t>Category</t>
  </si>
  <si>
    <t>Unit Price</t>
  </si>
  <si>
    <t>Qty</t>
  </si>
  <si>
    <t>Supplier</t>
  </si>
  <si>
    <t>Expiry</t>
  </si>
  <si>
    <t>M001</t>
  </si>
  <si>
    <t>Medicine1</t>
  </si>
  <si>
    <t>General</t>
  </si>
  <si>
    <t>M002</t>
  </si>
  <si>
    <t>Medicine2</t>
  </si>
  <si>
    <t>M003</t>
  </si>
  <si>
    <t>Medicine3</t>
  </si>
  <si>
    <t>M004</t>
  </si>
  <si>
    <t>Medicine4</t>
  </si>
  <si>
    <t>M005</t>
  </si>
  <si>
    <t>Medicine5</t>
  </si>
  <si>
    <t>M006</t>
  </si>
  <si>
    <t>Medicine6</t>
  </si>
  <si>
    <t>M007</t>
  </si>
  <si>
    <t>Medicine7</t>
  </si>
  <si>
    <t>M008</t>
  </si>
  <si>
    <t>Medicine8</t>
  </si>
  <si>
    <t>M009</t>
  </si>
  <si>
    <t>Medicine9</t>
  </si>
  <si>
    <t>M010</t>
  </si>
  <si>
    <t>Medicine10</t>
  </si>
  <si>
    <t>Prescription ID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</si>
  <si>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</si>
  <si>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</si>
  <si>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</si>
  <si>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</si>
  <si>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</si>
  <si>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</si>
  <si>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</si>
  <si>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</si>
  <si>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</si>
  <si>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</si>
  <si>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</si>
  <si>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</si>
  <si>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</si>
  <si>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</si>
  <si>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</si>
  <si>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</si>
  <si>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</si>
  <si>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</si>
  <si>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</si>
  <si>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</si>
  <si>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</si>
  <si>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</si>
  <si>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</si>
  <si>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</si>
  <si>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</si>
  <si>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</si>
  <si>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</si>
  <si>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</si>
  <si>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</si>
  <si>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</si>
  <si>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</si>
  <si>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</si>
  <si>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</si>
  <si>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</si>
  <si>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</si>
  <si>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</si>
  <si>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</si>
  <si>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</si>
  <si>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</si>
  <si>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</si>
  <si>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</si>
  <si>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</si>
  <si>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</si>
  <si>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PR044</t>
  </si>
  <si>
    <t>PR045</t>
  </si>
  <si>
    <t>PR046</t>
  </si>
  <si>
    <t>PR047</t>
  </si>
  <si>
    <t>PR048</t>
  </si>
  <si>
    <t>PR049</t>
  </si>
  <si>
    <t>PR050</t>
  </si>
  <si>
    <t>Invoice ID</t>
  </si>
  <si>
    <t>Room</t>
  </si>
  <si>
    <t>Other</t>
  </si>
  <si>
    <t>Total</t>
  </si>
  <si>
    <t>Paid</t>
  </si>
  <si>
    <t>Balance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</si>
  <si>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</si>
  <si>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</si>
  <si>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</si>
  <si>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</si>
  <si>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</si>
  <si>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</si>
  <si>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</si>
  <si>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</si>
  <si>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</si>
  <si>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</si>
  <si>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</si>
  <si>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</si>
  <si>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</si>
  <si>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</si>
  <si>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</si>
  <si>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</si>
  <si>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</si>
  <si>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</si>
  <si>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</si>
  <si>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</si>
  <si>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</si>
  <si>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</si>
  <si>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</si>
  <si>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</si>
  <si>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</si>
  <si>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</si>
  <si>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</si>
  <si>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</si>
  <si>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</si>
  <si>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</si>
  <si>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</si>
  <si>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</si>
  <si>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</si>
  <si>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</si>
  <si>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</si>
  <si>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</si>
  <si>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</si>
  <si>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</si>
  <si>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</si>
  <si>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</si>
  <si>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</si>
  <si>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</si>
  <si>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</si>
  <si>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</si>
  <si>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</si>
  <si>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</si>
  <si>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</si>
  <si>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</si>
  <si>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</si>
  <si>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</si>
  <si>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Highest Bill</t>
  </si>
  <si>
    <t>Lowest Bill</t>
  </si>
  <si>
    <t>Numbers of Bed</t>
  </si>
  <si>
    <t>Average Bill</t>
  </si>
  <si>
    <t>Quantity of Drugs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</si>
</sst>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0.0_ "/>
  </numFmts>
  <fonts count="25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6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0" fontId="1" fillId="0" borderId="0" xfId="0" applyFont="1"/>
    <xf numFmtId="8" fontId="1" fillId="0" borderId="0" xfId="0" applyNumberFormat="1" applyFont="1"/>
    <xf numFmtId="8" fontId="1" fillId="0" borderId="0" xfId="0" applyNumberFormat="1" applyFont="1"/>
    <xf numFmtId="0" fontId="1" fillId="0" borderId="0" xfId="0" applyFont="1"/>
    <xf numFmtId="0" fontId="1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8" fontId="0" fillId="2" borderId="1" xfId="0" applyNumberFormat="1" applyFont="1" applyFill="1" applyBorder="1" applyAlignment="1">
      <alignment horizontal="center"/>
    </xf>
    <xf numFmtId="8" fontId="0" fillId="3" borderId="2" xfId="0" applyNumberFormat="1" applyFont="1" applyFill="1" applyBorder="1" applyAlignment="1">
      <alignment horizontal="center"/>
    </xf>
    <xf numFmtId="8" fontId="0" fillId="2" borderId="2" xfId="0" applyNumberFormat="1" applyFont="1" applyFill="1" applyBorder="1" applyAlignment="1">
      <alignment horizontal="center"/>
    </xf>
    <xf numFmtId="8" fontId="0" fillId="3" borderId="3" xfId="0" applyNumberFormat="1" applyFont="1" applyFill="1" applyBorder="1" applyAlignment="1">
      <alignment horizontal="center"/>
    </xf>
    <xf numFmtId="178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8" fontId="5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9">
    <dxf>
      <font>
        <b val="1"/>
        <sz val="14"/>
      </font>
    </dxf>
    <dxf>
      <font>
        <sz val="2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yyyy\-mm\-dd"/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yyyy\-mm\-dd"/>
      <alignment horizontal="center"/>
    </dxf>
    <dxf>
      <numFmt numFmtId="178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yyyy\-mm\-dd"/>
      <alignment horizontal="center"/>
    </dxf>
    <dxf>
      <numFmt numFmtId="8" formatCode="&quot;$&quot;#,##0.00_);[Red]\(&quot;$&quot;#,##0.00\)"/>
      <alignment horizontal="center"/>
    </dxf>
    <dxf>
      <alignment horizontal="center"/>
    </dxf>
    <dxf>
      <alignment horizontal="center"/>
    </dxf>
    <dxf>
      <alignment horizontal="center"/>
    </dxf>
    <dxf>
      <numFmt numFmtId="8" formatCode="&quot;$&quot;#,##0.00_);[Red]\(&quot;$&quot;#,##0.00\)"/>
      <alignment horizontal="center"/>
    </dxf>
    <dxf>
      <alignment horizontal="center"/>
    </dxf>
    <dxf>
      <alignment horizontal="center"/>
    </dxf>
    <dxf>
      <numFmt numFmtId="178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yyyy\-mm\-dd"/>
      <alignment horizontal="center"/>
    </dxf>
    <dxf>
      <alignment horizontal="center"/>
    </dxf>
    <dxf>
      <alignment horizontal="center"/>
    </dxf>
    <dxf>
      <numFmt numFmtId="8" formatCode="&quot;$&quot;#,##0.00_);[Red]\(&quot;$&quot;#,##0.00\)"/>
      <alignment horizontal="center"/>
    </dxf>
    <dxf>
      <numFmt numFmtId="8" formatCode="&quot;$&quot;#,##0.00_);[Red]\(&quot;$&quot;#,##0.00\)"/>
      <alignment horizontal="center"/>
    </dxf>
    <dxf>
      <numFmt numFmtId="8" formatCode="&quot;$&quot;#,##0.00_);[Red]\(&quot;$&quot;#,##0.00\)"/>
      <alignment horizontal="center"/>
    </dxf>
    <dxf>
      <numFmt numFmtId="8" formatCode="&quot;$&quot;#,##0.00_);[Red]\(&quot;$&quot;#,##0.00\)"/>
      <alignment horizontal="center"/>
    </dxf>
    <dxf>
      <numFmt numFmtId="8" formatCode="&quot;$&quot;#,##0.00_);[Red]\(&quot;$&quot;#,##0.00\)"/>
      <alignment horizontal="center"/>
    </dxf>
    <dxf>
      <numFmt numFmtId="8" formatCode="&quot;$&quot;#,##0.00_);[Red]\(&quot;$&quot;#,##0.00\)"/>
      <alignment horizontal="center"/>
    </dxf>
    <dxf>
      <numFmt numFmtId="8" formatCode="&quot;$&quot;#,##0.00_);[Red]\(&quot;$&quot;#,##0.00\)"/>
      <alignment horizontal="center"/>
    </dxf>
    <dxf>
      <alignment horizontal="center"/>
    </dxf>
    <dxf>
      <font>
        <b val="0"/>
        <sz val="18"/>
      </font>
    </dxf>
    <dxf>
      <font>
        <b val="0"/>
        <sz val="1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microsoft.com/office/2007/relationships/slicerCache" Target="slicerCaches/slicerCache4.xml"/><Relationship Id="rId24" Type="http://schemas.microsoft.com/office/2007/relationships/slicerCache" Target="slicerCaches/slicerCache3.xml"/><Relationship Id="rId23" Type="http://schemas.microsoft.com/office/2007/relationships/slicerCache" Target="slicerCaches/slicerCache2.xml"/><Relationship Id="rId22" Type="http://schemas.microsoft.com/office/2007/relationships/slicerCache" Target="slicerCaches/slicerCache1.xml"/><Relationship Id="rId21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Patients by Ward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Dashboard!$A$7:$A$11</c:f>
              <c:strCache>
                <c:ptCount val="5"/>
                <c:pt idx="0">
                  <c:v>Ward A Patients</c:v>
                </c:pt>
                <c:pt idx="1">
                  <c:v>Ward B Patients</c:v>
                </c:pt>
                <c:pt idx="2">
                  <c:v>Ward C Patients</c:v>
                </c:pt>
                <c:pt idx="3">
                  <c:v>Ward D Patients</c:v>
                </c:pt>
                <c:pt idx="4">
                  <c:v>Ward E Patients</c:v>
                </c:pt>
              </c:strCache>
            </c:strRef>
          </c:cat>
          <c:val>
            <c:numRef>
              <c:f>Dashboard!$B$7:$B$11</c:f>
              <c:numCache>
                <c:formatCode>General</c:formatCode>
                <c:ptCount val="5"/>
                <c:pt idx="0">
                  <c:v>4</c:v>
                </c:pt>
                <c:pt idx="1">
                  <c:v>14</c:v>
                </c:pt>
                <c:pt idx="2">
                  <c:v>9</c:v>
                </c:pt>
                <c:pt idx="3">
                  <c:v>11</c:v>
                </c:pt>
                <c:pt idx="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84862679"/>
        <c:axId val="125486442"/>
      </c:barChart>
      <c:catAx>
        <c:axId val="784862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486442"/>
        <c:crosses val="autoZero"/>
        <c:auto val="1"/>
        <c:lblAlgn val="ctr"/>
        <c:lblOffset val="100"/>
        <c:noMultiLvlLbl val="0"/>
      </c:catAx>
      <c:valAx>
        <c:axId val="1254864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4862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Management.xlsx]Sheet4!PivotTable3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Appointment </a:t>
            </a:r>
          </a:p>
        </c:rich>
      </c:tx>
      <c:layout>
        <c:manualLayout>
          <c:xMode val="edge"/>
          <c:yMode val="edge"/>
          <c:x val="0.434357530847723"/>
          <c:y val="0.01189532117367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Sheet4!$A$4:$A$14</c:f>
              <c:strCache>
                <c:ptCount val="10"/>
                <c:pt idx="0">
                  <c:v>Dr. Daniel Harris</c:v>
                </c:pt>
                <c:pt idx="1">
                  <c:v>Dr. David Wilson</c:v>
                </c:pt>
                <c:pt idx="2">
                  <c:v>Dr. Emily Carter</c:v>
                </c:pt>
                <c:pt idx="3">
                  <c:v>Dr. James Taylor</c:v>
                </c:pt>
                <c:pt idx="4">
                  <c:v>Dr. Jennifer Moore</c:v>
                </c:pt>
                <c:pt idx="5">
                  <c:v>Dr. Karen White</c:v>
                </c:pt>
                <c:pt idx="6">
                  <c:v>Dr. Lisa Anderson</c:v>
                </c:pt>
                <c:pt idx="7">
                  <c:v>Dr. Michael Brown</c:v>
                </c:pt>
                <c:pt idx="8">
                  <c:v>Dr. Robert Thomas</c:v>
                </c:pt>
                <c:pt idx="9">
                  <c:v>Dr. Sarah Johnson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7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Management.xlsx]Sheet7!PivotTable6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Treatment by Cost</a:t>
            </a:r>
          </a:p>
        </c:rich>
      </c:tx>
      <c:layout>
        <c:manualLayout>
          <c:xMode val="edge"/>
          <c:yMode val="edge"/>
          <c:x val="0.339000922630816"/>
          <c:y val="0.1211502773476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0587692713137"/>
          <c:y val="0.396767390922016"/>
          <c:w val="0.73545921728818"/>
          <c:h val="0.325743735805555"/>
        </c:manualLayout>
      </c:layout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Sheet7!$A$4:$A$20</c:f>
              <c:strCache>
                <c:ptCount val="16"/>
                <c:pt idx="0">
                  <c:v>Antenatal</c:v>
                </c:pt>
                <c:pt idx="1">
                  <c:v>Blood Test</c:v>
                </c:pt>
                <c:pt idx="2">
                  <c:v>Consultation</c:v>
                </c:pt>
                <c:pt idx="3">
                  <c:v>CT Scan</c:v>
                </c:pt>
                <c:pt idx="4">
                  <c:v>Dental Check Up</c:v>
                </c:pt>
                <c:pt idx="5">
                  <c:v>Emergency</c:v>
                </c:pt>
                <c:pt idx="6">
                  <c:v>Eye Exaimination</c:v>
                </c:pt>
                <c:pt idx="7">
                  <c:v>General Check Up</c:v>
                </c:pt>
                <c:pt idx="8">
                  <c:v>Laboratory Test</c:v>
                </c:pt>
                <c:pt idx="9">
                  <c:v>MRI Scan</c:v>
                </c:pt>
                <c:pt idx="10">
                  <c:v>Physiotherapy</c:v>
                </c:pt>
                <c:pt idx="11">
                  <c:v>Postnatal Care</c:v>
                </c:pt>
                <c:pt idx="12">
                  <c:v>Surgery</c:v>
                </c:pt>
                <c:pt idx="13">
                  <c:v>Ultrasound</c:v>
                </c:pt>
                <c:pt idx="14">
                  <c:v>Vaccination</c:v>
                </c:pt>
                <c:pt idx="15">
                  <c:v>X-ray</c:v>
                </c:pt>
              </c:strCache>
            </c:strRef>
          </c:cat>
          <c:val>
            <c:numRef>
              <c:f>Sheet7!$B$4:$B$20</c:f>
              <c:numCache>
                <c:formatCode>General</c:formatCode>
                <c:ptCount val="16"/>
                <c:pt idx="0">
                  <c:v>600</c:v>
                </c:pt>
                <c:pt idx="1">
                  <c:v>2090</c:v>
                </c:pt>
                <c:pt idx="2">
                  <c:v>1119</c:v>
                </c:pt>
                <c:pt idx="3">
                  <c:v>3210</c:v>
                </c:pt>
                <c:pt idx="4">
                  <c:v>1120</c:v>
                </c:pt>
                <c:pt idx="5">
                  <c:v>700</c:v>
                </c:pt>
                <c:pt idx="6">
                  <c:v>200</c:v>
                </c:pt>
                <c:pt idx="7">
                  <c:v>1000</c:v>
                </c:pt>
                <c:pt idx="8">
                  <c:v>431</c:v>
                </c:pt>
                <c:pt idx="9">
                  <c:v>2400</c:v>
                </c:pt>
                <c:pt idx="10">
                  <c:v>2227</c:v>
                </c:pt>
                <c:pt idx="11">
                  <c:v>200</c:v>
                </c:pt>
                <c:pt idx="12">
                  <c:v>9050</c:v>
                </c:pt>
                <c:pt idx="13">
                  <c:v>2000</c:v>
                </c:pt>
                <c:pt idx="14">
                  <c:v>1818</c:v>
                </c:pt>
                <c:pt idx="15">
                  <c:v>2110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0335828"/>
        <c:axId val="462374967"/>
      </c:lineChart>
      <c:catAx>
        <c:axId val="1603358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374967"/>
        <c:crosses val="autoZero"/>
        <c:auto val="1"/>
        <c:lblAlgn val="ctr"/>
        <c:lblOffset val="100"/>
        <c:noMultiLvlLbl val="0"/>
      </c:catAx>
      <c:valAx>
        <c:axId val="462374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3358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183515</xdr:colOff>
      <xdr:row>1</xdr:row>
      <xdr:rowOff>153035</xdr:rowOff>
    </xdr:from>
    <xdr:to>
      <xdr:col>19</xdr:col>
      <xdr:colOff>32385</xdr:colOff>
      <xdr:row>7</xdr:row>
      <xdr:rowOff>288925</xdr:rowOff>
    </xdr:to>
    <xdr:graphicFrame>
      <xdr:nvGraphicFramePr>
        <xdr:cNvPr id="3" name="Chart 2"/>
        <xdr:cNvGraphicFramePr/>
      </xdr:nvGraphicFramePr>
      <xdr:xfrm>
        <a:off x="9845040" y="581660"/>
        <a:ext cx="3449320" cy="2431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225425</xdr:colOff>
      <xdr:row>7</xdr:row>
      <xdr:rowOff>321945</xdr:rowOff>
    </xdr:from>
    <xdr:to>
      <xdr:col>18</xdr:col>
      <xdr:colOff>542290</xdr:colOff>
      <xdr:row>18</xdr:row>
      <xdr:rowOff>161290</xdr:rowOff>
    </xdr:to>
    <xdr:graphicFrame>
      <xdr:nvGraphicFramePr>
        <xdr:cNvPr id="4" name="Chart 3"/>
        <xdr:cNvGraphicFramePr/>
      </xdr:nvGraphicFramePr>
      <xdr:xfrm>
        <a:off x="9886950" y="3046095"/>
        <a:ext cx="3317240" cy="277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100330</xdr:colOff>
      <xdr:row>6</xdr:row>
      <xdr:rowOff>175260</xdr:rowOff>
    </xdr:from>
    <xdr:to>
      <xdr:col>12</xdr:col>
      <xdr:colOff>487045</xdr:colOff>
      <xdr:row>18</xdr:row>
      <xdr:rowOff>15875</xdr:rowOff>
    </xdr:to>
    <xdr:graphicFrame>
      <xdr:nvGraphicFramePr>
        <xdr:cNvPr id="5" name="Chart 4"/>
        <xdr:cNvGraphicFramePr/>
      </xdr:nvGraphicFramePr>
      <xdr:xfrm>
        <a:off x="3161030" y="2499360"/>
        <a:ext cx="6387465" cy="3174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266065</xdr:colOff>
      <xdr:row>2</xdr:row>
      <xdr:rowOff>59055</xdr:rowOff>
    </xdr:from>
    <xdr:to>
      <xdr:col>13</xdr:col>
      <xdr:colOff>147320</xdr:colOff>
      <xdr:row>6</xdr:row>
      <xdr:rowOff>132715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7365" y="782955"/>
              <a:ext cx="1681480" cy="1673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295275</xdr:colOff>
      <xdr:row>2</xdr:row>
      <xdr:rowOff>31750</xdr:rowOff>
    </xdr:from>
    <xdr:to>
      <xdr:col>10</xdr:col>
      <xdr:colOff>76835</xdr:colOff>
      <xdr:row>6</xdr:row>
      <xdr:rowOff>100965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Doctor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octor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6350" y="755650"/>
              <a:ext cx="1581785" cy="16694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466725</xdr:colOff>
      <xdr:row>2</xdr:row>
      <xdr:rowOff>108585</xdr:rowOff>
    </xdr:from>
    <xdr:to>
      <xdr:col>7</xdr:col>
      <xdr:colOff>208915</xdr:colOff>
      <xdr:row>6</xdr:row>
      <xdr:rowOff>106680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War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7575" y="832485"/>
              <a:ext cx="1542415" cy="1598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10795</xdr:colOff>
      <xdr:row>2</xdr:row>
      <xdr:rowOff>142240</xdr:rowOff>
    </xdr:from>
    <xdr:to>
      <xdr:col>4</xdr:col>
      <xdr:colOff>407035</xdr:colOff>
      <xdr:row>6</xdr:row>
      <xdr:rowOff>121285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atient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tien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1495" y="866140"/>
              <a:ext cx="1596390" cy="15792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6720486111" refreshedBy="HP" recordCount="50">
  <cacheSource type="worksheet">
    <worksheetSource name="Table11"/>
  </cacheSource>
  <cacheFields count="7">
    <cacheField name="Appointment ID" numFmtId="0">
      <sharedItems count="50">
        <s v="A001"/>
        <s v="A002"/>
        <s v="A003"/>
        <s v="A004"/>
        <s v="A005"/>
        <s v="A006"/>
        <s v="A007"/>
        <s v="A008"/>
        <s v="A009"/>
        <s v="A010"/>
        <s v="A011"/>
        <s v="A012"/>
        <s v="A013"/>
        <s v="A014"/>
        <s v="A015"/>
        <s v="A016"/>
        <s v="A017"/>
        <s v="A018"/>
        <s v="A019"/>
        <s v="A020"/>
        <s v="A021"/>
        <s v="A022"/>
        <s v="A023"/>
        <s v="A024"/>
        <s v="A025"/>
        <s v="A026"/>
        <s v="A027"/>
        <s v="A028"/>
        <s v="A029"/>
        <s v="A030"/>
        <s v="A031"/>
        <s v="A032"/>
        <s v="A033"/>
        <s v="A034"/>
        <s v="A035"/>
        <s v="A036"/>
        <s v="A037"/>
        <s v="A038"/>
        <s v="A039"/>
        <s v="A040"/>
        <s v="A041"/>
        <s v="A042"/>
        <s v="A043"/>
        <s v="A044"/>
        <s v="A045"/>
        <s v="A046"/>
        <s v="A047"/>
        <s v="A048"/>
        <s v="A049"/>
        <s v="A050"/>
      </sharedItems>
    </cacheField>
    <cacheField name="Patient Name" numFmtId="0">
      <sharedItems count="50">
        <s v="James "/>
        <s v="Mary"/>
        <s v="John"/>
        <s v="Patricia"/>
        <s v="Robert"/>
        <s v="Jennifer"/>
        <s v="Michael"/>
        <s v="Linda"/>
        <s v="William"/>
        <s v="Elizabeth"/>
        <s v="David"/>
        <s v="Susan"/>
        <s v="Richard"/>
        <s v="Jessica"/>
        <s v="Joseph"/>
        <s v="Sarah"/>
        <s v="Thomas"/>
        <s v="Karen"/>
        <s v="Charles"/>
        <s v="Nancy"/>
        <s v="Daniel"/>
        <s v="Lisa"/>
        <s v="Matthew"/>
        <s v="Betty"/>
        <s v="Anthony"/>
        <s v="Sandra"/>
        <s v="Mark"/>
        <s v="Ashley"/>
        <s v="Donald"/>
        <s v="Kimberly"/>
        <s v="Steven"/>
        <s v="Emily"/>
        <s v="Paul"/>
        <s v="Donna"/>
        <s v="Andrew"/>
        <s v="Michelle"/>
        <s v="Joshua"/>
        <s v="Carol"/>
        <s v="Kenneth"/>
        <s v="Amanda"/>
        <s v="Kevin"/>
        <s v="Melissa"/>
        <s v="Brian"/>
        <s v="Deborah"/>
        <s v="George"/>
        <s v="Stephanie"/>
        <s v="Edward"/>
        <s v="Rebecca"/>
        <s v="Ronald"/>
        <s v="Laura"/>
      </sharedItems>
    </cacheField>
    <cacheField name="Doctor Name" numFmtId="0">
      <sharedItems count="10">
        <s v="Dr. Emily Carter"/>
        <s v="Dr. Michael Brown"/>
        <s v="Dr. Sarah Johnson"/>
        <s v="Dr. David Wilson"/>
        <s v="Dr. Lisa Anderson"/>
        <s v="Dr. James Taylor"/>
        <s v="Dr. Jennifer Moore"/>
        <s v="Dr. Robert Thomas"/>
        <s v="Dr. Karen White"/>
        <s v="Dr. Daniel Harris"/>
      </sharedItems>
    </cacheField>
    <cacheField name="Date" numFmtId="178">
      <sharedItems containsSemiMixedTypes="0" containsString="0" containsNonDate="0" containsDate="1" minDate="2026-07-01T00:00:00" maxDate="2026-07-28T00:00:00" count="28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</sharedItems>
    </cacheField>
    <cacheField name="Time" numFmtId="0">
      <sharedItems containsDate="1" containsMixedTypes="1" count="3">
        <s v="10:00"/>
        <d v="1899-12-30T10:00:00"/>
        <d v="1899-12-30T11:00:00"/>
      </sharedItems>
    </cacheField>
    <cacheField name="Type" numFmtId="0">
      <sharedItems count="16">
        <s v="Consultation"/>
        <s v="X-ray"/>
        <s v="Blood Test"/>
        <s v="Surgery"/>
        <s v="Physiotherapy"/>
        <s v="Vaccination"/>
        <s v="MRI Scan"/>
        <s v="CT Scan"/>
        <s v="Eye Exaimination"/>
        <s v="Postnatal Care"/>
        <s v="Emergency"/>
        <s v="Antenatal"/>
        <s v="Laboratory Test"/>
        <s v="Ultrasound"/>
        <s v="General Check Up"/>
        <s v="Dental Check Up"/>
      </sharedItems>
    </cacheField>
    <cacheField name="Status" numFmtId="0">
      <sharedItems count="1">
        <s v="Completed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7258217593" refreshedBy="HP" recordCount="50">
  <cacheSource type="worksheet">
    <worksheetSource name="Table1"/>
  </cacheSource>
  <cacheFields count="6">
    <cacheField name="Treatment ID" numFmtId="0">
      <sharedItems count="50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  <s v="T031"/>
        <s v="T032"/>
        <s v="T033"/>
        <s v="T034"/>
        <s v="T035"/>
        <s v="T036"/>
        <s v="T037"/>
        <s v="T038"/>
        <s v="T039"/>
        <s v="T040"/>
        <s v="T041"/>
        <s v="T042"/>
        <s v="T043"/>
        <s v="T044"/>
        <s v="T045"/>
        <s v="T046"/>
        <s v="T047"/>
        <s v="T048"/>
        <s v="T049"/>
        <s v="T050"/>
      </sharedItems>
    </cacheField>
    <cacheField name="Patient Name" numFmtId="0">
      <sharedItems count="50">
        <s v="James "/>
        <s v="Mary"/>
        <s v="John"/>
        <s v="Patricia"/>
        <s v="Robert"/>
        <s v="Jennifer"/>
        <s v="Michael"/>
        <s v="Linda"/>
        <s v="William"/>
        <s v="Elizabeth"/>
        <s v="David"/>
        <s v="Susan"/>
        <s v="Richard"/>
        <s v="Jessica"/>
        <s v="Joseph"/>
        <s v="Sarah"/>
        <s v="Thomas"/>
        <s v="Karen"/>
        <s v="Charles"/>
        <s v="Nancy"/>
        <s v="Daniel"/>
        <s v="Lisa"/>
        <s v="Matthew"/>
        <s v="Betty"/>
        <s v="Anthony"/>
        <s v="Sandra"/>
        <s v="Mark"/>
        <s v="Ashley"/>
        <s v="Donald"/>
        <s v="Kimberly"/>
        <s v="Steven"/>
        <s v="Emily"/>
        <s v="Paul"/>
        <s v="Donna"/>
        <s v="Andrew"/>
        <s v="Michelle"/>
        <s v="Joshua"/>
        <s v="Carol"/>
        <s v="Kenneth"/>
        <s v="Amanda"/>
        <s v="Kevin"/>
        <s v="Melissa"/>
        <s v="Brian"/>
        <s v="Deborah"/>
        <s v="George"/>
        <s v="Stephanie"/>
        <s v="Edward"/>
        <s v="Rebecca"/>
        <s v="Ronald"/>
        <s v="Laura"/>
      </sharedItems>
    </cacheField>
    <cacheField name="Doctor Name" numFmtId="0">
      <sharedItems count="10">
        <s v="Dr. Emily Carter"/>
        <s v="Dr. Michael Brown"/>
        <s v="Dr. Sarah Johnson"/>
        <s v="Dr. David Wilson"/>
        <s v="Dr. Lisa Anderson"/>
        <s v="Dr. James Taylor"/>
        <s v="Dr. Jennifer Moore"/>
        <s v="Dr. Robert Thomas"/>
        <s v="Dr. Karen White"/>
        <s v="Dr. Daniel Harris"/>
      </sharedItems>
    </cacheField>
    <cacheField name="Treatment" numFmtId="0">
      <sharedItems count="16">
        <s v="Consultation"/>
        <s v="X-ray"/>
        <s v="Blood Test"/>
        <s v="Surgery"/>
        <s v="Physiotherapy"/>
        <s v="Vaccination"/>
        <s v="MRI Scan"/>
        <s v="CT Scan"/>
        <s v="Eye Exaimination"/>
        <s v="Postnatal Care"/>
        <s v="Emergency"/>
        <s v="Antenatal"/>
        <s v="Laboratory Test"/>
        <s v="Ultrasound"/>
        <s v="General Check Up"/>
        <s v="Dental Check Up"/>
      </sharedItems>
    </cacheField>
    <cacheField name="Date" numFmtId="178">
      <sharedItems containsSemiMixedTypes="0" containsString="0" containsNonDate="0" containsDate="1" minDate="2026-07-01T00:00:00" maxDate="2026-07-28T00:00:00" count="28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</sharedItems>
    </cacheField>
    <cacheField name="Cost" numFmtId="8">
      <sharedItems containsSemiMixedTypes="0" containsString="0" containsNumber="1" containsInteger="1" minValue="200" maxValue="2000" count="26">
        <n v="200"/>
        <n v="500"/>
        <n v="600"/>
        <n v="1000"/>
        <n v="400"/>
        <n v="300"/>
        <n v="800"/>
        <n v="900"/>
        <n v="700"/>
        <n v="1200"/>
        <n v="350"/>
        <n v="860"/>
        <n v="2000"/>
        <n v="340"/>
        <n v="1600"/>
        <n v="227"/>
        <n v="228"/>
        <n v="231"/>
        <n v="232"/>
        <n v="850"/>
        <n v="750"/>
        <n v="243"/>
        <n v="244"/>
        <n v="1350"/>
        <n v="1700"/>
        <n v="62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7339699074" refreshedBy="HP" recordCount="5">
  <cacheSource type="worksheet">
    <worksheetSource name="Table10"/>
  </cacheSource>
  <cacheFields count="5">
    <cacheField name="Dept ID" numFmtId="0">
      <sharedItems count="5">
        <s v="D01"/>
        <s v="D02"/>
        <s v="D03"/>
        <s v="D04"/>
        <s v="D05"/>
      </sharedItems>
    </cacheField>
    <cacheField name="Department" numFmtId="0">
      <sharedItems count="5">
        <s v="Cardiology"/>
        <s v="Neurology"/>
        <s v="Pediatrics"/>
        <s v="Orthopedics"/>
        <s v="Oncology"/>
      </sharedItems>
    </cacheField>
    <cacheField name="Floor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Head" numFmtId="0">
      <sharedItems count="5">
        <s v="Dr. Lisa Anderson"/>
        <s v="Dr. James Taylor"/>
        <s v="Dr. Jennifer Moore"/>
        <s v="Dr. Robert Thomas"/>
        <s v="Dr. Karen White"/>
      </sharedItems>
    </cacheField>
    <cacheField name="Beds" numFmtId="0">
      <sharedItems containsSemiMixedTypes="0" containsString="0" containsNumber="1" containsInteger="1" minValue="21" maxValue="25" count="5">
        <n v="21"/>
        <n v="22"/>
        <n v="23"/>
        <n v="24"/>
        <n v="2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7353240741" refreshedBy="HP" recordCount="10">
  <cacheSource type="worksheet">
    <worksheetSource name="Table8"/>
  </cacheSource>
  <cacheFields count="8">
    <cacheField name="Doctor ID " numFmtId="0">
      <sharedItems count="10">
        <s v="DR001"/>
        <s v="DR002"/>
        <s v="DR003"/>
        <s v="DR004"/>
        <s v="DR005"/>
        <s v="DR006"/>
        <s v="DR007"/>
        <s v="DR008"/>
        <s v="DR009"/>
        <s v="DR010"/>
      </sharedItems>
    </cacheField>
    <cacheField name="Doctor Name" numFmtId="0">
      <sharedItems count="10">
        <s v="Dr. Emily Carter"/>
        <s v="Dr. Michael Brown"/>
        <s v="Dr. Sarah Johnson"/>
        <s v="Dr. David Wilson"/>
        <s v="Dr. Lisa Anderson"/>
        <s v="Dr. James Taylor"/>
        <s v="Dr. Jennifer Moore"/>
        <s v="Dr. Robert Thomas"/>
        <s v="Dr. Karen White"/>
        <s v="Dr. Daniel Harris"/>
      </sharedItems>
    </cacheField>
    <cacheField name="Department" numFmtId="0">
      <sharedItems count="5">
        <s v="Cardiology"/>
        <s v="Neurology"/>
        <s v="Pediatrics"/>
        <s v="Orthopedics"/>
        <s v="Oncology"/>
      </sharedItems>
    </cacheField>
    <cacheField name="Specialty" numFmtId="0">
      <sharedItems count="1">
        <s v="Specialist"/>
      </sharedItems>
    </cacheField>
    <cacheField name="Qualification" numFmtId="0">
      <sharedItems count="1">
        <s v="MBBS"/>
      </sharedItems>
    </cacheField>
    <cacheField name="Phone" numFmtId="0">
      <sharedItems count="10">
        <s v="0800000001"/>
        <s v="0800000002"/>
        <s v="0800000003"/>
        <s v="0800000004"/>
        <s v="0800000005"/>
        <s v="0800000006"/>
        <s v="0800000007"/>
        <s v="0800000008"/>
        <s v="0800000009"/>
        <s v="0800000010"/>
      </sharedItems>
    </cacheField>
    <cacheField name="Email" numFmtId="0">
      <sharedItems count="10">
        <s v="doc1@hosp.com"/>
        <s v="doc2@hosp.com"/>
        <s v="doc3@hosp.com"/>
        <s v="doc4@hosp.com"/>
        <s v="doc5@hosp.com"/>
        <s v="doc6@hosp.com"/>
        <s v="doc7@hosp.com"/>
        <s v="doc8@hosp.com"/>
        <s v="doc9@hosp.com"/>
        <s v="doc10@hosp.com"/>
      </sharedItems>
    </cacheField>
    <cacheField name="Years" numFmtId="0">
      <sharedItems containsSemiMixedTypes="0" containsString="0" containsNumber="1" containsInteger="1" minValue="6" maxValue="15" count="10">
        <n v="6"/>
        <n v="7"/>
        <n v="8"/>
        <n v="9"/>
        <n v="10"/>
        <n v="11"/>
        <n v="12"/>
        <n v="13"/>
        <n v="14"/>
        <n v="15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7361458333" refreshedBy="HP" recordCount="50">
  <cacheSource type="worksheet">
    <worksheetSource name="Table2"/>
  </cacheSource>
  <cacheFields count="8">
    <cacheField name="Admission ID" numFmtId="0">
      <sharedItems count="50">
        <s v="AD001"/>
        <s v="AD002"/>
        <s v="AD003"/>
        <s v="AD004"/>
        <s v="AD005"/>
        <s v="AD006"/>
        <s v="AD007"/>
        <s v="AD008"/>
        <s v="AD009"/>
        <s v="AD010"/>
        <s v="AD011"/>
        <s v="AD012"/>
        <s v="AD013"/>
        <s v="AD014"/>
        <s v="AD015"/>
        <s v="AD016"/>
        <s v="AD017"/>
        <s v="AD018"/>
        <s v="AD019"/>
        <s v="AD020"/>
        <s v="AD021"/>
        <s v="AD022"/>
        <s v="AD023"/>
        <s v="AD024"/>
        <s v="AD025"/>
        <s v="AD026"/>
        <s v="AD027"/>
        <s v="AD028"/>
        <s v="AD029"/>
        <s v="AD030"/>
        <s v="AD031"/>
        <s v="AD032"/>
        <s v="AD033"/>
        <s v="AD034"/>
        <s v="AD035"/>
        <s v="AD036"/>
        <s v="AD037"/>
        <s v="AD038"/>
        <s v="AD039"/>
        <s v="AD040"/>
        <s v="AD041"/>
        <s v="AD042"/>
        <s v="AD043"/>
        <s v="AD044"/>
        <s v="AD045"/>
        <s v="AD046"/>
        <s v="AD047"/>
        <s v="AD048"/>
        <s v="AD049"/>
        <s v="AD050"/>
      </sharedItems>
    </cacheField>
    <cacheField name="Patient Name" numFmtId="0">
      <sharedItems count="50">
        <s v="James "/>
        <s v="Mary"/>
        <s v="John"/>
        <s v="Patricia"/>
        <s v="Robert"/>
        <s v="Jennifer"/>
        <s v="Michael"/>
        <s v="Linda"/>
        <s v="William"/>
        <s v="Elizabeth"/>
        <s v="David"/>
        <s v="Susan"/>
        <s v="Richard"/>
        <s v="Jessica"/>
        <s v="Joseph"/>
        <s v="Sarah"/>
        <s v="Thomas"/>
        <s v="Karen"/>
        <s v="Charles"/>
        <s v="Nancy"/>
        <s v="Daniel"/>
        <s v="Lisa"/>
        <s v="Matthew"/>
        <s v="Betty"/>
        <s v="Anthony"/>
        <s v="Sandra"/>
        <s v="Mark"/>
        <s v="Ashley"/>
        <s v="Donald"/>
        <s v="Kimberly"/>
        <s v="Steven"/>
        <s v="Emily"/>
        <s v="Paul"/>
        <s v="Donna"/>
        <s v="Andrew"/>
        <s v="Michelle"/>
        <s v="Joshua"/>
        <s v="Carol"/>
        <s v="Kenneth"/>
        <s v="Amanda"/>
        <s v="Kevin"/>
        <s v="Melissa"/>
        <s v="Brian"/>
        <s v="Deborah"/>
        <s v="George"/>
        <s v="Stephanie"/>
        <s v="Edward"/>
        <s v="Rebecca"/>
        <s v="Ronald"/>
        <s v="Laura"/>
      </sharedItems>
    </cacheField>
    <cacheField name="Ward" numFmtId="0">
      <sharedItems count="5">
        <s v="Ward A"/>
        <s v="Ward B"/>
        <s v="Ward C"/>
        <s v="Ward D"/>
        <s v="Ward E"/>
      </sharedItems>
    </cacheField>
    <cacheField name="Bed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Admission" numFmtId="178">
      <sharedItems containsSemiMixedTypes="0" containsString="0" containsNonDate="0" containsDate="1" minDate="2026-07-01T00:00:00" maxDate="2026-07-28T00:00:00" count="28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</sharedItems>
    </cacheField>
    <cacheField name="Discharge" numFmtId="178">
      <sharedItems containsSemiMixedTypes="0" containsString="0" containsNonDate="0" containsDate="1" minDate="2026-07-04T00:00:00" maxDate="2026-07-31T00:00:00" count="28"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</sharedItems>
    </cacheField>
    <cacheField name="Length" numFmtId="0">
      <sharedItems containsSemiMixedTypes="0" containsString="0" containsNumber="1" containsInteger="1" minValue="3" maxValue="3" count="1">
        <n v="3"/>
      </sharedItems>
    </cacheField>
    <cacheField name="Diagnosis" numFmtId="0">
      <sharedItems count="1">
        <s v="Diagnosis"/>
      </sharedItems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</r>
  <r>
    <x v="1"/>
    <x v="1"/>
    <x v="1"/>
    <x v="1"/>
    <x v="0"/>
    <x v="1"/>
    <x v="0"/>
  </r>
  <r>
    <x v="2"/>
    <x v="2"/>
    <x v="2"/>
    <x v="2"/>
    <x v="0"/>
    <x v="2"/>
    <x v="0"/>
  </r>
  <r>
    <x v="3"/>
    <x v="3"/>
    <x v="3"/>
    <x v="3"/>
    <x v="0"/>
    <x v="3"/>
    <x v="0"/>
  </r>
  <r>
    <x v="4"/>
    <x v="4"/>
    <x v="4"/>
    <x v="4"/>
    <x v="0"/>
    <x v="4"/>
    <x v="0"/>
  </r>
  <r>
    <x v="5"/>
    <x v="5"/>
    <x v="5"/>
    <x v="5"/>
    <x v="0"/>
    <x v="5"/>
    <x v="0"/>
  </r>
  <r>
    <x v="6"/>
    <x v="6"/>
    <x v="6"/>
    <x v="6"/>
    <x v="0"/>
    <x v="6"/>
    <x v="0"/>
  </r>
  <r>
    <x v="7"/>
    <x v="7"/>
    <x v="7"/>
    <x v="7"/>
    <x v="0"/>
    <x v="7"/>
    <x v="0"/>
  </r>
  <r>
    <x v="8"/>
    <x v="8"/>
    <x v="8"/>
    <x v="8"/>
    <x v="0"/>
    <x v="8"/>
    <x v="0"/>
  </r>
  <r>
    <x v="9"/>
    <x v="9"/>
    <x v="9"/>
    <x v="9"/>
    <x v="0"/>
    <x v="9"/>
    <x v="0"/>
  </r>
  <r>
    <x v="10"/>
    <x v="10"/>
    <x v="0"/>
    <x v="10"/>
    <x v="0"/>
    <x v="10"/>
    <x v="0"/>
  </r>
  <r>
    <x v="11"/>
    <x v="11"/>
    <x v="1"/>
    <x v="11"/>
    <x v="0"/>
    <x v="11"/>
    <x v="0"/>
  </r>
  <r>
    <x v="12"/>
    <x v="12"/>
    <x v="2"/>
    <x v="12"/>
    <x v="0"/>
    <x v="3"/>
    <x v="0"/>
  </r>
  <r>
    <x v="13"/>
    <x v="13"/>
    <x v="3"/>
    <x v="13"/>
    <x v="0"/>
    <x v="4"/>
    <x v="0"/>
  </r>
  <r>
    <x v="14"/>
    <x v="14"/>
    <x v="4"/>
    <x v="14"/>
    <x v="0"/>
    <x v="5"/>
    <x v="0"/>
  </r>
  <r>
    <x v="15"/>
    <x v="15"/>
    <x v="5"/>
    <x v="15"/>
    <x v="0"/>
    <x v="6"/>
    <x v="0"/>
  </r>
  <r>
    <x v="16"/>
    <x v="16"/>
    <x v="6"/>
    <x v="16"/>
    <x v="0"/>
    <x v="7"/>
    <x v="0"/>
  </r>
  <r>
    <x v="17"/>
    <x v="17"/>
    <x v="7"/>
    <x v="17"/>
    <x v="0"/>
    <x v="12"/>
    <x v="0"/>
  </r>
  <r>
    <x v="18"/>
    <x v="18"/>
    <x v="8"/>
    <x v="18"/>
    <x v="0"/>
    <x v="0"/>
    <x v="0"/>
  </r>
  <r>
    <x v="19"/>
    <x v="19"/>
    <x v="9"/>
    <x v="19"/>
    <x v="0"/>
    <x v="13"/>
    <x v="0"/>
  </r>
  <r>
    <x v="20"/>
    <x v="20"/>
    <x v="9"/>
    <x v="20"/>
    <x v="0"/>
    <x v="4"/>
    <x v="0"/>
  </r>
  <r>
    <x v="21"/>
    <x v="21"/>
    <x v="3"/>
    <x v="21"/>
    <x v="0"/>
    <x v="5"/>
    <x v="0"/>
  </r>
  <r>
    <x v="22"/>
    <x v="22"/>
    <x v="4"/>
    <x v="22"/>
    <x v="0"/>
    <x v="14"/>
    <x v="0"/>
  </r>
  <r>
    <x v="23"/>
    <x v="23"/>
    <x v="5"/>
    <x v="23"/>
    <x v="0"/>
    <x v="1"/>
    <x v="0"/>
  </r>
  <r>
    <x v="24"/>
    <x v="24"/>
    <x v="8"/>
    <x v="24"/>
    <x v="0"/>
    <x v="2"/>
    <x v="0"/>
  </r>
  <r>
    <x v="25"/>
    <x v="25"/>
    <x v="9"/>
    <x v="25"/>
    <x v="1"/>
    <x v="3"/>
    <x v="0"/>
  </r>
  <r>
    <x v="26"/>
    <x v="26"/>
    <x v="9"/>
    <x v="26"/>
    <x v="2"/>
    <x v="4"/>
    <x v="0"/>
  </r>
  <r>
    <x v="27"/>
    <x v="27"/>
    <x v="3"/>
    <x v="27"/>
    <x v="0"/>
    <x v="5"/>
    <x v="0"/>
  </r>
  <r>
    <x v="28"/>
    <x v="28"/>
    <x v="4"/>
    <x v="0"/>
    <x v="0"/>
    <x v="14"/>
    <x v="0"/>
  </r>
  <r>
    <x v="29"/>
    <x v="29"/>
    <x v="8"/>
    <x v="1"/>
    <x v="0"/>
    <x v="7"/>
    <x v="0"/>
  </r>
  <r>
    <x v="30"/>
    <x v="30"/>
    <x v="0"/>
    <x v="2"/>
    <x v="0"/>
    <x v="12"/>
    <x v="0"/>
  </r>
  <r>
    <x v="31"/>
    <x v="31"/>
    <x v="1"/>
    <x v="3"/>
    <x v="0"/>
    <x v="0"/>
    <x v="0"/>
  </r>
  <r>
    <x v="32"/>
    <x v="32"/>
    <x v="2"/>
    <x v="4"/>
    <x v="0"/>
    <x v="15"/>
    <x v="0"/>
  </r>
  <r>
    <x v="33"/>
    <x v="33"/>
    <x v="3"/>
    <x v="5"/>
    <x v="0"/>
    <x v="2"/>
    <x v="0"/>
  </r>
  <r>
    <x v="34"/>
    <x v="34"/>
    <x v="4"/>
    <x v="6"/>
    <x v="0"/>
    <x v="3"/>
    <x v="0"/>
  </r>
  <r>
    <x v="35"/>
    <x v="35"/>
    <x v="5"/>
    <x v="7"/>
    <x v="0"/>
    <x v="4"/>
    <x v="0"/>
  </r>
  <r>
    <x v="36"/>
    <x v="36"/>
    <x v="6"/>
    <x v="8"/>
    <x v="0"/>
    <x v="5"/>
    <x v="0"/>
  </r>
  <r>
    <x v="37"/>
    <x v="37"/>
    <x v="7"/>
    <x v="9"/>
    <x v="0"/>
    <x v="6"/>
    <x v="0"/>
  </r>
  <r>
    <x v="38"/>
    <x v="38"/>
    <x v="8"/>
    <x v="10"/>
    <x v="0"/>
    <x v="7"/>
    <x v="0"/>
  </r>
  <r>
    <x v="39"/>
    <x v="39"/>
    <x v="9"/>
    <x v="11"/>
    <x v="0"/>
    <x v="1"/>
    <x v="0"/>
  </r>
  <r>
    <x v="40"/>
    <x v="40"/>
    <x v="2"/>
    <x v="12"/>
    <x v="0"/>
    <x v="2"/>
    <x v="0"/>
  </r>
  <r>
    <x v="41"/>
    <x v="41"/>
    <x v="2"/>
    <x v="13"/>
    <x v="0"/>
    <x v="3"/>
    <x v="0"/>
  </r>
  <r>
    <x v="42"/>
    <x v="42"/>
    <x v="3"/>
    <x v="14"/>
    <x v="0"/>
    <x v="0"/>
    <x v="0"/>
  </r>
  <r>
    <x v="43"/>
    <x v="43"/>
    <x v="4"/>
    <x v="15"/>
    <x v="0"/>
    <x v="0"/>
    <x v="0"/>
  </r>
  <r>
    <x v="44"/>
    <x v="44"/>
    <x v="8"/>
    <x v="16"/>
    <x v="0"/>
    <x v="2"/>
    <x v="0"/>
  </r>
  <r>
    <x v="45"/>
    <x v="45"/>
    <x v="9"/>
    <x v="17"/>
    <x v="0"/>
    <x v="3"/>
    <x v="0"/>
  </r>
  <r>
    <x v="46"/>
    <x v="46"/>
    <x v="3"/>
    <x v="18"/>
    <x v="0"/>
    <x v="4"/>
    <x v="0"/>
  </r>
  <r>
    <x v="47"/>
    <x v="47"/>
    <x v="9"/>
    <x v="19"/>
    <x v="0"/>
    <x v="3"/>
    <x v="0"/>
  </r>
  <r>
    <x v="48"/>
    <x v="48"/>
    <x v="3"/>
    <x v="20"/>
    <x v="0"/>
    <x v="5"/>
    <x v="0"/>
  </r>
  <r>
    <x v="49"/>
    <x v="49"/>
    <x v="4"/>
    <x v="21"/>
    <x v="0"/>
    <x v="1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3"/>
    <x v="3"/>
    <x v="3"/>
  </r>
  <r>
    <x v="4"/>
    <x v="4"/>
    <x v="4"/>
    <x v="4"/>
    <x v="4"/>
    <x v="4"/>
  </r>
  <r>
    <x v="5"/>
    <x v="5"/>
    <x v="5"/>
    <x v="5"/>
    <x v="5"/>
    <x v="5"/>
  </r>
  <r>
    <x v="6"/>
    <x v="6"/>
    <x v="6"/>
    <x v="6"/>
    <x v="6"/>
    <x v="6"/>
  </r>
  <r>
    <x v="7"/>
    <x v="7"/>
    <x v="7"/>
    <x v="7"/>
    <x v="7"/>
    <x v="7"/>
  </r>
  <r>
    <x v="8"/>
    <x v="8"/>
    <x v="8"/>
    <x v="8"/>
    <x v="8"/>
    <x v="0"/>
  </r>
  <r>
    <x v="9"/>
    <x v="9"/>
    <x v="9"/>
    <x v="9"/>
    <x v="9"/>
    <x v="0"/>
  </r>
  <r>
    <x v="10"/>
    <x v="10"/>
    <x v="0"/>
    <x v="10"/>
    <x v="10"/>
    <x v="8"/>
  </r>
  <r>
    <x v="11"/>
    <x v="11"/>
    <x v="1"/>
    <x v="11"/>
    <x v="11"/>
    <x v="2"/>
  </r>
  <r>
    <x v="12"/>
    <x v="12"/>
    <x v="2"/>
    <x v="3"/>
    <x v="12"/>
    <x v="9"/>
  </r>
  <r>
    <x v="13"/>
    <x v="13"/>
    <x v="3"/>
    <x v="4"/>
    <x v="13"/>
    <x v="1"/>
  </r>
  <r>
    <x v="14"/>
    <x v="14"/>
    <x v="4"/>
    <x v="5"/>
    <x v="14"/>
    <x v="10"/>
  </r>
  <r>
    <x v="15"/>
    <x v="15"/>
    <x v="5"/>
    <x v="6"/>
    <x v="15"/>
    <x v="8"/>
  </r>
  <r>
    <x v="16"/>
    <x v="16"/>
    <x v="6"/>
    <x v="7"/>
    <x v="16"/>
    <x v="11"/>
  </r>
  <r>
    <x v="17"/>
    <x v="17"/>
    <x v="7"/>
    <x v="12"/>
    <x v="17"/>
    <x v="0"/>
  </r>
  <r>
    <x v="18"/>
    <x v="18"/>
    <x v="8"/>
    <x v="0"/>
    <x v="18"/>
    <x v="0"/>
  </r>
  <r>
    <x v="19"/>
    <x v="19"/>
    <x v="9"/>
    <x v="13"/>
    <x v="19"/>
    <x v="12"/>
  </r>
  <r>
    <x v="20"/>
    <x v="20"/>
    <x v="9"/>
    <x v="4"/>
    <x v="20"/>
    <x v="4"/>
  </r>
  <r>
    <x v="21"/>
    <x v="21"/>
    <x v="3"/>
    <x v="5"/>
    <x v="21"/>
    <x v="13"/>
  </r>
  <r>
    <x v="22"/>
    <x v="22"/>
    <x v="4"/>
    <x v="14"/>
    <x v="22"/>
    <x v="0"/>
  </r>
  <r>
    <x v="23"/>
    <x v="23"/>
    <x v="5"/>
    <x v="1"/>
    <x v="23"/>
    <x v="11"/>
  </r>
  <r>
    <x v="24"/>
    <x v="24"/>
    <x v="8"/>
    <x v="2"/>
    <x v="24"/>
    <x v="4"/>
  </r>
  <r>
    <x v="25"/>
    <x v="25"/>
    <x v="9"/>
    <x v="3"/>
    <x v="25"/>
    <x v="14"/>
  </r>
  <r>
    <x v="26"/>
    <x v="26"/>
    <x v="9"/>
    <x v="4"/>
    <x v="26"/>
    <x v="15"/>
  </r>
  <r>
    <x v="27"/>
    <x v="27"/>
    <x v="3"/>
    <x v="5"/>
    <x v="27"/>
    <x v="16"/>
  </r>
  <r>
    <x v="28"/>
    <x v="28"/>
    <x v="4"/>
    <x v="14"/>
    <x v="0"/>
    <x v="6"/>
  </r>
  <r>
    <x v="29"/>
    <x v="29"/>
    <x v="8"/>
    <x v="7"/>
    <x v="1"/>
    <x v="2"/>
  </r>
  <r>
    <x v="30"/>
    <x v="30"/>
    <x v="0"/>
    <x v="12"/>
    <x v="2"/>
    <x v="17"/>
  </r>
  <r>
    <x v="31"/>
    <x v="31"/>
    <x v="1"/>
    <x v="0"/>
    <x v="3"/>
    <x v="18"/>
  </r>
  <r>
    <x v="32"/>
    <x v="32"/>
    <x v="2"/>
    <x v="15"/>
    <x v="4"/>
    <x v="1"/>
  </r>
  <r>
    <x v="33"/>
    <x v="33"/>
    <x v="3"/>
    <x v="2"/>
    <x v="5"/>
    <x v="10"/>
  </r>
  <r>
    <x v="34"/>
    <x v="34"/>
    <x v="4"/>
    <x v="3"/>
    <x v="6"/>
    <x v="3"/>
  </r>
  <r>
    <x v="35"/>
    <x v="35"/>
    <x v="5"/>
    <x v="4"/>
    <x v="7"/>
    <x v="5"/>
  </r>
  <r>
    <x v="36"/>
    <x v="36"/>
    <x v="6"/>
    <x v="5"/>
    <x v="8"/>
    <x v="5"/>
  </r>
  <r>
    <x v="37"/>
    <x v="37"/>
    <x v="7"/>
    <x v="6"/>
    <x v="9"/>
    <x v="7"/>
  </r>
  <r>
    <x v="38"/>
    <x v="38"/>
    <x v="8"/>
    <x v="7"/>
    <x v="10"/>
    <x v="19"/>
  </r>
  <r>
    <x v="39"/>
    <x v="39"/>
    <x v="9"/>
    <x v="1"/>
    <x v="11"/>
    <x v="20"/>
  </r>
  <r>
    <x v="40"/>
    <x v="40"/>
    <x v="2"/>
    <x v="2"/>
    <x v="12"/>
    <x v="4"/>
  </r>
  <r>
    <x v="41"/>
    <x v="41"/>
    <x v="2"/>
    <x v="3"/>
    <x v="13"/>
    <x v="9"/>
  </r>
  <r>
    <x v="42"/>
    <x v="42"/>
    <x v="3"/>
    <x v="0"/>
    <x v="14"/>
    <x v="21"/>
  </r>
  <r>
    <x v="43"/>
    <x v="43"/>
    <x v="4"/>
    <x v="0"/>
    <x v="15"/>
    <x v="22"/>
  </r>
  <r>
    <x v="44"/>
    <x v="44"/>
    <x v="8"/>
    <x v="2"/>
    <x v="16"/>
    <x v="13"/>
  </r>
  <r>
    <x v="45"/>
    <x v="45"/>
    <x v="9"/>
    <x v="3"/>
    <x v="17"/>
    <x v="23"/>
  </r>
  <r>
    <x v="46"/>
    <x v="46"/>
    <x v="3"/>
    <x v="4"/>
    <x v="18"/>
    <x v="4"/>
  </r>
  <r>
    <x v="47"/>
    <x v="47"/>
    <x v="9"/>
    <x v="3"/>
    <x v="19"/>
    <x v="24"/>
  </r>
  <r>
    <x v="48"/>
    <x v="48"/>
    <x v="3"/>
    <x v="5"/>
    <x v="20"/>
    <x v="5"/>
  </r>
  <r>
    <x v="49"/>
    <x v="49"/>
    <x v="4"/>
    <x v="15"/>
    <x v="21"/>
    <x v="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4"/>
    <x v="4"/>
    <x v="4"/>
    <x v="4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</r>
  <r>
    <x v="1"/>
    <x v="1"/>
    <x v="1"/>
    <x v="0"/>
    <x v="0"/>
    <x v="1"/>
    <x v="1"/>
    <x v="1"/>
  </r>
  <r>
    <x v="2"/>
    <x v="2"/>
    <x v="2"/>
    <x v="0"/>
    <x v="0"/>
    <x v="2"/>
    <x v="2"/>
    <x v="2"/>
  </r>
  <r>
    <x v="3"/>
    <x v="3"/>
    <x v="3"/>
    <x v="0"/>
    <x v="0"/>
    <x v="3"/>
    <x v="3"/>
    <x v="3"/>
  </r>
  <r>
    <x v="4"/>
    <x v="4"/>
    <x v="4"/>
    <x v="0"/>
    <x v="0"/>
    <x v="4"/>
    <x v="4"/>
    <x v="4"/>
  </r>
  <r>
    <x v="5"/>
    <x v="5"/>
    <x v="0"/>
    <x v="0"/>
    <x v="0"/>
    <x v="5"/>
    <x v="5"/>
    <x v="5"/>
  </r>
  <r>
    <x v="6"/>
    <x v="6"/>
    <x v="1"/>
    <x v="0"/>
    <x v="0"/>
    <x v="6"/>
    <x v="6"/>
    <x v="6"/>
  </r>
  <r>
    <x v="7"/>
    <x v="7"/>
    <x v="2"/>
    <x v="0"/>
    <x v="0"/>
    <x v="7"/>
    <x v="7"/>
    <x v="7"/>
  </r>
  <r>
    <x v="8"/>
    <x v="8"/>
    <x v="3"/>
    <x v="0"/>
    <x v="0"/>
    <x v="8"/>
    <x v="8"/>
    <x v="8"/>
  </r>
  <r>
    <x v="9"/>
    <x v="9"/>
    <x v="4"/>
    <x v="0"/>
    <x v="0"/>
    <x v="9"/>
    <x v="9"/>
    <x v="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</r>
  <r>
    <x v="1"/>
    <x v="1"/>
    <x v="0"/>
    <x v="1"/>
    <x v="1"/>
    <x v="1"/>
    <x v="0"/>
    <x v="0"/>
  </r>
  <r>
    <x v="2"/>
    <x v="2"/>
    <x v="0"/>
    <x v="2"/>
    <x v="2"/>
    <x v="2"/>
    <x v="0"/>
    <x v="0"/>
  </r>
  <r>
    <x v="3"/>
    <x v="3"/>
    <x v="0"/>
    <x v="3"/>
    <x v="3"/>
    <x v="3"/>
    <x v="0"/>
    <x v="0"/>
  </r>
  <r>
    <x v="4"/>
    <x v="4"/>
    <x v="1"/>
    <x v="4"/>
    <x v="4"/>
    <x v="4"/>
    <x v="0"/>
    <x v="0"/>
  </r>
  <r>
    <x v="5"/>
    <x v="5"/>
    <x v="1"/>
    <x v="5"/>
    <x v="5"/>
    <x v="5"/>
    <x v="0"/>
    <x v="0"/>
  </r>
  <r>
    <x v="6"/>
    <x v="6"/>
    <x v="1"/>
    <x v="6"/>
    <x v="6"/>
    <x v="6"/>
    <x v="0"/>
    <x v="0"/>
  </r>
  <r>
    <x v="7"/>
    <x v="7"/>
    <x v="1"/>
    <x v="7"/>
    <x v="7"/>
    <x v="7"/>
    <x v="0"/>
    <x v="0"/>
  </r>
  <r>
    <x v="8"/>
    <x v="8"/>
    <x v="1"/>
    <x v="8"/>
    <x v="8"/>
    <x v="8"/>
    <x v="0"/>
    <x v="0"/>
  </r>
  <r>
    <x v="9"/>
    <x v="9"/>
    <x v="1"/>
    <x v="9"/>
    <x v="9"/>
    <x v="9"/>
    <x v="0"/>
    <x v="0"/>
  </r>
  <r>
    <x v="10"/>
    <x v="10"/>
    <x v="1"/>
    <x v="10"/>
    <x v="10"/>
    <x v="10"/>
    <x v="0"/>
    <x v="0"/>
  </r>
  <r>
    <x v="11"/>
    <x v="11"/>
    <x v="1"/>
    <x v="11"/>
    <x v="11"/>
    <x v="11"/>
    <x v="0"/>
    <x v="0"/>
  </r>
  <r>
    <x v="12"/>
    <x v="12"/>
    <x v="1"/>
    <x v="12"/>
    <x v="12"/>
    <x v="12"/>
    <x v="0"/>
    <x v="0"/>
  </r>
  <r>
    <x v="13"/>
    <x v="13"/>
    <x v="1"/>
    <x v="13"/>
    <x v="13"/>
    <x v="13"/>
    <x v="0"/>
    <x v="0"/>
  </r>
  <r>
    <x v="14"/>
    <x v="14"/>
    <x v="1"/>
    <x v="14"/>
    <x v="14"/>
    <x v="14"/>
    <x v="0"/>
    <x v="0"/>
  </r>
  <r>
    <x v="15"/>
    <x v="15"/>
    <x v="1"/>
    <x v="15"/>
    <x v="15"/>
    <x v="15"/>
    <x v="0"/>
    <x v="0"/>
  </r>
  <r>
    <x v="16"/>
    <x v="16"/>
    <x v="1"/>
    <x v="16"/>
    <x v="16"/>
    <x v="16"/>
    <x v="0"/>
    <x v="0"/>
  </r>
  <r>
    <x v="17"/>
    <x v="17"/>
    <x v="1"/>
    <x v="17"/>
    <x v="17"/>
    <x v="17"/>
    <x v="0"/>
    <x v="0"/>
  </r>
  <r>
    <x v="18"/>
    <x v="18"/>
    <x v="2"/>
    <x v="18"/>
    <x v="18"/>
    <x v="18"/>
    <x v="0"/>
    <x v="0"/>
  </r>
  <r>
    <x v="19"/>
    <x v="19"/>
    <x v="2"/>
    <x v="19"/>
    <x v="19"/>
    <x v="19"/>
    <x v="0"/>
    <x v="0"/>
  </r>
  <r>
    <x v="20"/>
    <x v="20"/>
    <x v="2"/>
    <x v="20"/>
    <x v="20"/>
    <x v="20"/>
    <x v="0"/>
    <x v="0"/>
  </r>
  <r>
    <x v="21"/>
    <x v="21"/>
    <x v="2"/>
    <x v="21"/>
    <x v="21"/>
    <x v="21"/>
    <x v="0"/>
    <x v="0"/>
  </r>
  <r>
    <x v="22"/>
    <x v="22"/>
    <x v="2"/>
    <x v="22"/>
    <x v="22"/>
    <x v="22"/>
    <x v="0"/>
    <x v="0"/>
  </r>
  <r>
    <x v="23"/>
    <x v="23"/>
    <x v="2"/>
    <x v="23"/>
    <x v="23"/>
    <x v="23"/>
    <x v="0"/>
    <x v="0"/>
  </r>
  <r>
    <x v="24"/>
    <x v="24"/>
    <x v="2"/>
    <x v="24"/>
    <x v="24"/>
    <x v="24"/>
    <x v="0"/>
    <x v="0"/>
  </r>
  <r>
    <x v="25"/>
    <x v="25"/>
    <x v="2"/>
    <x v="25"/>
    <x v="25"/>
    <x v="25"/>
    <x v="0"/>
    <x v="0"/>
  </r>
  <r>
    <x v="26"/>
    <x v="26"/>
    <x v="2"/>
    <x v="26"/>
    <x v="26"/>
    <x v="26"/>
    <x v="0"/>
    <x v="0"/>
  </r>
  <r>
    <x v="27"/>
    <x v="27"/>
    <x v="3"/>
    <x v="27"/>
    <x v="27"/>
    <x v="27"/>
    <x v="0"/>
    <x v="0"/>
  </r>
  <r>
    <x v="28"/>
    <x v="28"/>
    <x v="3"/>
    <x v="28"/>
    <x v="0"/>
    <x v="0"/>
    <x v="0"/>
    <x v="0"/>
  </r>
  <r>
    <x v="29"/>
    <x v="29"/>
    <x v="3"/>
    <x v="29"/>
    <x v="1"/>
    <x v="1"/>
    <x v="0"/>
    <x v="0"/>
  </r>
  <r>
    <x v="30"/>
    <x v="30"/>
    <x v="3"/>
    <x v="30"/>
    <x v="2"/>
    <x v="2"/>
    <x v="0"/>
    <x v="0"/>
  </r>
  <r>
    <x v="31"/>
    <x v="31"/>
    <x v="3"/>
    <x v="31"/>
    <x v="3"/>
    <x v="3"/>
    <x v="0"/>
    <x v="0"/>
  </r>
  <r>
    <x v="32"/>
    <x v="32"/>
    <x v="3"/>
    <x v="32"/>
    <x v="4"/>
    <x v="4"/>
    <x v="0"/>
    <x v="0"/>
  </r>
  <r>
    <x v="33"/>
    <x v="33"/>
    <x v="3"/>
    <x v="33"/>
    <x v="5"/>
    <x v="5"/>
    <x v="0"/>
    <x v="0"/>
  </r>
  <r>
    <x v="34"/>
    <x v="34"/>
    <x v="3"/>
    <x v="34"/>
    <x v="6"/>
    <x v="6"/>
    <x v="0"/>
    <x v="0"/>
  </r>
  <r>
    <x v="35"/>
    <x v="35"/>
    <x v="3"/>
    <x v="35"/>
    <x v="7"/>
    <x v="7"/>
    <x v="0"/>
    <x v="0"/>
  </r>
  <r>
    <x v="36"/>
    <x v="36"/>
    <x v="3"/>
    <x v="36"/>
    <x v="8"/>
    <x v="8"/>
    <x v="0"/>
    <x v="0"/>
  </r>
  <r>
    <x v="37"/>
    <x v="37"/>
    <x v="3"/>
    <x v="37"/>
    <x v="9"/>
    <x v="9"/>
    <x v="0"/>
    <x v="0"/>
  </r>
  <r>
    <x v="38"/>
    <x v="38"/>
    <x v="4"/>
    <x v="38"/>
    <x v="10"/>
    <x v="10"/>
    <x v="0"/>
    <x v="0"/>
  </r>
  <r>
    <x v="39"/>
    <x v="39"/>
    <x v="4"/>
    <x v="39"/>
    <x v="11"/>
    <x v="11"/>
    <x v="0"/>
    <x v="0"/>
  </r>
  <r>
    <x v="40"/>
    <x v="40"/>
    <x v="4"/>
    <x v="40"/>
    <x v="12"/>
    <x v="12"/>
    <x v="0"/>
    <x v="0"/>
  </r>
  <r>
    <x v="41"/>
    <x v="41"/>
    <x v="4"/>
    <x v="41"/>
    <x v="13"/>
    <x v="13"/>
    <x v="0"/>
    <x v="0"/>
  </r>
  <r>
    <x v="42"/>
    <x v="42"/>
    <x v="4"/>
    <x v="42"/>
    <x v="14"/>
    <x v="14"/>
    <x v="0"/>
    <x v="0"/>
  </r>
  <r>
    <x v="43"/>
    <x v="43"/>
    <x v="4"/>
    <x v="43"/>
    <x v="15"/>
    <x v="15"/>
    <x v="0"/>
    <x v="0"/>
  </r>
  <r>
    <x v="44"/>
    <x v="44"/>
    <x v="4"/>
    <x v="44"/>
    <x v="16"/>
    <x v="16"/>
    <x v="0"/>
    <x v="0"/>
  </r>
  <r>
    <x v="45"/>
    <x v="45"/>
    <x v="4"/>
    <x v="45"/>
    <x v="17"/>
    <x v="17"/>
    <x v="0"/>
    <x v="0"/>
  </r>
  <r>
    <x v="46"/>
    <x v="46"/>
    <x v="4"/>
    <x v="46"/>
    <x v="18"/>
    <x v="18"/>
    <x v="0"/>
    <x v="0"/>
  </r>
  <r>
    <x v="47"/>
    <x v="47"/>
    <x v="4"/>
    <x v="47"/>
    <x v="19"/>
    <x v="19"/>
    <x v="0"/>
    <x v="0"/>
  </r>
  <r>
    <x v="48"/>
    <x v="48"/>
    <x v="4"/>
    <x v="48"/>
    <x v="20"/>
    <x v="20"/>
    <x v="0"/>
    <x v="0"/>
  </r>
  <r>
    <x v="49"/>
    <x v="49"/>
    <x v="4"/>
    <x v="49"/>
    <x v="21"/>
    <x v="2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8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8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h="1" x="9"/>
        <item h="1" x="3"/>
        <item h="1" x="0"/>
        <item h="1" x="5"/>
        <item x="6"/>
        <item h="1" x="8"/>
        <item h="1" x="4"/>
        <item h="1" x="1"/>
        <item h="1" x="7"/>
        <item h="1" x="2"/>
        <item t="default"/>
      </items>
    </pivotField>
    <pivotField compact="0" showAll="0">
      <items count="6">
        <item x="0"/>
        <item x="1"/>
        <item x="4"/>
        <item x="3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5"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h="1" x="0"/>
        <item h="1" x="1"/>
        <item h="1" x="4"/>
        <item x="3"/>
        <item h="1"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1"/>
        <item x="2"/>
        <item x="4"/>
        <item x="0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14" firstHeaderRow="1" firstDataRow="1" firstDataCol="1"/>
  <pivotFields count="7">
    <pivotField dataField="1"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1">
        <item x="39"/>
        <item x="34"/>
        <item x="24"/>
        <item x="27"/>
        <item x="23"/>
        <item x="42"/>
        <item x="37"/>
        <item x="18"/>
        <item x="20"/>
        <item x="10"/>
        <item x="43"/>
        <item x="28"/>
        <item x="33"/>
        <item x="46"/>
        <item x="9"/>
        <item x="31"/>
        <item x="44"/>
        <item x="0"/>
        <item x="5"/>
        <item x="13"/>
        <item x="2"/>
        <item x="14"/>
        <item x="36"/>
        <item x="17"/>
        <item x="38"/>
        <item x="40"/>
        <item x="29"/>
        <item x="49"/>
        <item x="7"/>
        <item x="21"/>
        <item x="26"/>
        <item x="1"/>
        <item x="22"/>
        <item x="41"/>
        <item x="6"/>
        <item x="35"/>
        <item x="19"/>
        <item x="3"/>
        <item x="32"/>
        <item x="47"/>
        <item x="12"/>
        <item x="4"/>
        <item x="48"/>
        <item x="25"/>
        <item x="15"/>
        <item x="45"/>
        <item x="30"/>
        <item x="11"/>
        <item x="16"/>
        <item x="8"/>
        <item t="default"/>
      </items>
    </pivotField>
    <pivotField axis="axisRow" compact="0" showAll="0">
      <items count="11">
        <item x="9"/>
        <item x="3"/>
        <item x="0"/>
        <item x="5"/>
        <item x="6"/>
        <item x="8"/>
        <item x="4"/>
        <item x="1"/>
        <item x="7"/>
        <item x="2"/>
        <item t="default"/>
      </items>
    </pivotField>
    <pivotField compact="0" numFmtId="178" showAll="0"/>
    <pivotField compact="0" showAll="0"/>
    <pivotField compact="0" showAll="0">
      <items count="17">
        <item x="11"/>
        <item x="2"/>
        <item x="0"/>
        <item x="7"/>
        <item x="15"/>
        <item x="10"/>
        <item x="8"/>
        <item x="14"/>
        <item x="12"/>
        <item x="6"/>
        <item x="4"/>
        <item x="9"/>
        <item x="3"/>
        <item x="13"/>
        <item x="5"/>
        <item x="1"/>
        <item t="default"/>
      </items>
    </pivotField>
    <pivotField compact="0" showAll="0">
      <items count="2">
        <item x="0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Appointment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8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1">
        <item h="1" x="39"/>
        <item h="1" x="34"/>
        <item h="1" x="24"/>
        <item h="1" x="27"/>
        <item h="1" x="23"/>
        <item h="1" x="42"/>
        <item h="1" x="37"/>
        <item h="1" x="18"/>
        <item h="1" x="20"/>
        <item h="1" x="10"/>
        <item h="1" x="43"/>
        <item h="1" x="28"/>
        <item h="1" x="33"/>
        <item h="1" x="46"/>
        <item h="1" x="9"/>
        <item h="1" x="31"/>
        <item h="1" x="44"/>
        <item h="1" x="0"/>
        <item h="1" x="5"/>
        <item h="1" x="13"/>
        <item h="1" x="2"/>
        <item h="1" x="14"/>
        <item h="1" x="36"/>
        <item h="1" x="17"/>
        <item h="1" x="38"/>
        <item h="1" x="40"/>
        <item h="1" x="29"/>
        <item h="1" x="49"/>
        <item h="1" x="7"/>
        <item x="21"/>
        <item h="1" x="26"/>
        <item h="1" x="1"/>
        <item h="1" x="22"/>
        <item h="1" x="41"/>
        <item h="1" x="6"/>
        <item h="1" x="35"/>
        <item h="1" x="19"/>
        <item h="1" x="3"/>
        <item h="1" x="32"/>
        <item h="1" x="47"/>
        <item h="1" x="12"/>
        <item h="1" x="4"/>
        <item h="1" x="48"/>
        <item h="1" x="25"/>
        <item h="1" x="15"/>
        <item h="1" x="45"/>
        <item h="1" x="30"/>
        <item h="1" x="11"/>
        <item h="1" x="16"/>
        <item h="1" x="8"/>
        <item t="default"/>
      </items>
    </pivotField>
    <pivotField compact="0" showAll="0">
      <items count="6">
        <item h="1" x="0"/>
        <item h="1" x="1"/>
        <item h="1" x="2"/>
        <item x="3"/>
        <item h="1" x="4"/>
        <item t="default"/>
      </items>
    </pivotField>
    <pivotField compact="0" showAll="0">
      <items count="51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t="default"/>
      </items>
    </pivotField>
    <pivotField compact="0" numFmtId="178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numFmtId="178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20" firstHeaderRow="1" firstDataRow="1" firstDataCol="1"/>
  <pivotFields count="6">
    <pivotField compact="0" showAll="0"/>
    <pivotField compact="0" showAll="0"/>
    <pivotField compact="0" showAll="0"/>
    <pivotField axis="axisRow" compact="0" showAll="0">
      <items count="17">
        <item x="11"/>
        <item x="2"/>
        <item x="0"/>
        <item x="7"/>
        <item x="15"/>
        <item x="10"/>
        <item x="8"/>
        <item x="14"/>
        <item x="12"/>
        <item x="6"/>
        <item x="4"/>
        <item x="9"/>
        <item x="3"/>
        <item x="13"/>
        <item x="5"/>
        <item x="1"/>
        <item t="default"/>
      </items>
    </pivotField>
    <pivotField compact="0" numFmtId="178" showAll="0"/>
    <pivotField dataField="1" compact="0" numFmtId="8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Cos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18" name="PivotTable7"/>
  </pivotTables>
  <data>
    <tabular pivotCacheId="1">
      <items count="5">
        <i x="0" s="0"/>
        <i x="1" s="0"/>
        <i x="4" s="0"/>
        <i x="3" s="1"/>
        <i x="2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octor_Name" sourceName="Doctor Name">
  <pivotTables>
    <pivotTable tabId="19" name="PivotTable8"/>
  </pivotTables>
  <data>
    <tabular pivotCacheId="2">
      <items count="10">
        <i x="9" s="0"/>
        <i x="3" s="0"/>
        <i x="0" s="0"/>
        <i x="5" s="0"/>
        <i x="6" s="1"/>
        <i x="8" s="0"/>
        <i x="4" s="0"/>
        <i x="1" s="0"/>
        <i x="7" s="0"/>
        <i x="2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tient_Name" sourceName="Patient Name">
  <pivotTables>
    <pivotTable tabId="20" name="PivotTable9"/>
  </pivotTables>
  <data>
    <tabular pivotCacheId="3">
      <items count="50">
        <i x="34" s="0"/>
        <i x="27" s="0"/>
        <i x="37" s="0"/>
        <i x="28" s="0"/>
        <i x="33" s="0"/>
        <i x="31" s="0"/>
        <i x="36" s="0"/>
        <i x="29" s="0"/>
        <i x="35" s="0"/>
        <i x="32" s="0"/>
        <i x="30" s="0"/>
        <i x="39" s="0" nd="1"/>
        <i x="24" s="0" nd="1"/>
        <i x="23" s="0" nd="1"/>
        <i x="42" s="0" nd="1"/>
        <i x="18" s="0" nd="1"/>
        <i x="20" s="0" nd="1"/>
        <i x="10" s="0" nd="1"/>
        <i x="43" s="0" nd="1"/>
        <i x="46" s="0" nd="1"/>
        <i x="9" s="0" nd="1"/>
        <i x="44" s="0" nd="1"/>
        <i x="0" s="0" nd="1"/>
        <i x="5" s="0" nd="1"/>
        <i x="13" s="0" nd="1"/>
        <i x="2" s="0" nd="1"/>
        <i x="14" s="0" nd="1"/>
        <i x="17" s="0" nd="1"/>
        <i x="38" s="0" nd="1"/>
        <i x="40" s="0" nd="1"/>
        <i x="49" s="0" nd="1"/>
        <i x="7" s="0" nd="1"/>
        <i x="21" s="1" nd="1"/>
        <i x="26" s="0" nd="1"/>
        <i x="1" s="0" nd="1"/>
        <i x="22" s="0" nd="1"/>
        <i x="41" s="0" nd="1"/>
        <i x="6" s="0" nd="1"/>
        <i x="19" s="0" nd="1"/>
        <i x="3" s="0" nd="1"/>
        <i x="47" s="0" nd="1"/>
        <i x="12" s="0" nd="1"/>
        <i x="4" s="0" nd="1"/>
        <i x="48" s="0" nd="1"/>
        <i x="25" s="0" nd="1"/>
        <i x="15" s="0" nd="1"/>
        <i x="45" s="0" nd="1"/>
        <i x="11" s="0" nd="1"/>
        <i x="16" s="0" nd="1"/>
        <i x="8" s="0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ard" sourceName="Ward">
  <pivotTables>
    <pivotTable tabId="20" name="PivotTable9"/>
  </pivotTables>
  <data>
    <tabular pivotCacheId="3">
      <items count="5">
        <i x="2" s="0"/>
        <i x="0" s="0" nd="1"/>
        <i x="1" s="0" nd="1"/>
        <i x="3" s="1" nd="1"/>
        <i x="4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25425"/>
  <slicer name="Doctor Name" cache="Slicer_Doctor_Name" caption="Doctor Name" rowHeight="225425"/>
  <slicer name="Ward" cache="Slicer_Ward" caption="Ward" rowHeight="225425"/>
  <slicer name="Patient Name" cache="Slicer_Patient_Name" caption="Patient Name" startItem="28" rowHeight="225425"/>
</slicers>
</file>

<file path=xl/tables/table1.xml><?xml version="1.0" encoding="utf-8"?>
<table xmlns="http://schemas.openxmlformats.org/spreadsheetml/2006/main" id="12" name="Table12" displayName="Table12" ref="A2:B11" totalsRowShown="0">
  <autoFilter xmlns:etc="http://www.wps.cn/officeDocument/2017/etCustomData" ref="A2:B11" etc:filterBottomFollowUsedRange="0"/>
  <tableColumns count="2">
    <tableColumn id="1" name="Metric" dataDxfId="0"/>
    <tableColumn id="2" name="Value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9" name="Table9" displayName="Table9" ref="A1:J51" totalsRowShown="0">
  <autoFilter xmlns:etc="http://www.wps.cn/officeDocument/2017/etCustomData" ref="A1:J51" etc:filterBottomFollowUsedRange="0"/>
  <tableColumns count="10">
    <tableColumn id="1" name="Patient ID" dataDxfId="2"/>
    <tableColumn id="2" name="First Name" dataDxfId="3"/>
    <tableColumn id="3" name="Last Name" dataDxfId="4"/>
    <tableColumn id="4" name="Gender" dataDxfId="5"/>
    <tableColumn id="5" name="DOB" dataDxfId="6"/>
    <tableColumn id="6" name="Age" dataDxfId="7"/>
    <tableColumn id="7" name="Blood" dataDxfId="8"/>
    <tableColumn id="8" name="Phone" dataDxfId="9"/>
    <tableColumn id="9" name="State" dataDxfId="10"/>
    <tableColumn id="10" name="Insuranc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A1:H11" totalsRowShown="0">
  <autoFilter xmlns:etc="http://www.wps.cn/officeDocument/2017/etCustomData" ref="A1:H11" etc:filterBottomFollowUsedRange="0"/>
  <tableColumns count="8">
    <tableColumn id="1" name="Doctor ID " dataDxfId="12"/>
    <tableColumn id="2" name="Doctor Name"/>
    <tableColumn id="3" name="Department" dataDxfId="13"/>
    <tableColumn id="4" name="Specialty" dataDxfId="14"/>
    <tableColumn id="5" name="Qualification" dataDxfId="15"/>
    <tableColumn id="6" name="Phone" dataDxfId="16"/>
    <tableColumn id="7" name="Email" dataDxfId="17"/>
    <tableColumn id="8" name="Years" dataDxfId="1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0" name="Table10" displayName="Table10" ref="A1:E6" totalsRowShown="0">
  <autoFilter xmlns:etc="http://www.wps.cn/officeDocument/2017/etCustomData" ref="A1:E6" etc:filterBottomFollowUsedRange="0"/>
  <tableColumns count="5">
    <tableColumn id="1" name="Dept ID" dataDxfId="19"/>
    <tableColumn id="2" name="Department" dataDxfId="20"/>
    <tableColumn id="3" name="Floor" dataDxfId="21"/>
    <tableColumn id="4" name="Head" dataDxfId="22"/>
    <tableColumn id="5" name="Beds" dataDxfId="2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11" name="Table11" displayName="Table11" ref="A1:G51" totalsRowShown="0">
  <autoFilter xmlns:etc="http://www.wps.cn/officeDocument/2017/etCustomData" ref="A1:G51" etc:filterBottomFollowUsedRange="0"/>
  <tableColumns count="7">
    <tableColumn id="1" name="Appointment ID" dataDxfId="24"/>
    <tableColumn id="2" name="Patient Name" dataDxfId="25"/>
    <tableColumn id="3" name="Doctor Name"/>
    <tableColumn id="4" name="Date" dataDxfId="26"/>
    <tableColumn id="5" name="Time" dataDxfId="27"/>
    <tableColumn id="6" name="Type" dataDxfId="28">
      <calculatedColumnFormula>Treatments!D2</calculatedColumnFormula>
    </tableColumn>
    <tableColumn id="7" name="Status" dataDxfId="2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2" name="Table2" displayName="Table2" ref="A1:H51" totalsRowShown="0">
  <autoFilter xmlns:etc="http://www.wps.cn/officeDocument/2017/etCustomData" ref="A1:H51" etc:filterBottomFollowUsedRange="0"/>
  <tableColumns count="8">
    <tableColumn id="1" name="Admission ID" dataDxfId="30"/>
    <tableColumn id="2" name="Patient Name" dataDxfId="31"/>
    <tableColumn id="3" name="Ward" dataDxfId="32"/>
    <tableColumn id="4" name="Bed" dataDxfId="33"/>
    <tableColumn id="5" name="Admission" dataDxfId="34"/>
    <tableColumn id="6" name="Discharge" dataDxfId="35"/>
    <tableColumn id="7" name="Length" dataDxfId="36">
      <calculatedColumnFormula>F2-E2</calculatedColumnFormula>
    </tableColumn>
    <tableColumn id="8" name="Diagnosis" dataDxfId="3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" name="Table1" displayName="Table1" ref="A1:F51" totalsRowShown="0">
  <autoFilter xmlns:etc="http://www.wps.cn/officeDocument/2017/etCustomData" ref="A1:F51" etc:filterBottomFollowUsedRange="0"/>
  <tableColumns count="6">
    <tableColumn id="1" name="Treatment ID" dataDxfId="38"/>
    <tableColumn id="2" name="Patient Name" dataDxfId="39"/>
    <tableColumn id="3" name="Doctor Name" dataDxfId="40"/>
    <tableColumn id="4" name="Treatment" dataDxfId="41"/>
    <tableColumn id="5" name="Date" dataDxfId="42"/>
    <tableColumn id="6" name="Cost" dataDxfId="4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7" name="Table7" displayName="Table7" ref="A1:G11" totalsRowShown="0">
  <autoFilter xmlns:etc="http://www.wps.cn/officeDocument/2017/etCustomData" ref="A1:G11" etc:filterBottomFollowUsedRange="0"/>
  <tableColumns count="7">
    <tableColumn id="1" name="Medicine ID" dataDxfId="44"/>
    <tableColumn id="2" name="Medicine" dataDxfId="45"/>
    <tableColumn id="3" name="Category" dataDxfId="46"/>
    <tableColumn id="4" name="Unit Price" dataDxfId="47"/>
    <tableColumn id="5" name="Qty" dataDxfId="48"/>
    <tableColumn id="6" name="Supplier" dataDxfId="49"/>
    <tableColumn id="7" name="Expiry" dataDxfId="5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3" name="Table3" displayName="Table3" ref="A1:F51" totalsRowShown="0">
  <autoFilter xmlns:etc="http://www.wps.cn/officeDocument/2017/etCustomData" ref="A1:F51" etc:filterBottomFollowUsedRange="0"/>
  <tableColumns count="6">
    <tableColumn id="1" name="Prescription ID" dataDxfId="51"/>
    <tableColumn id="2" name="Patient Name" dataDxfId="52"/>
    <tableColumn id="3" name="Doctor Name" dataDxfId="53"/>
    <tableColumn id="4" name="Medicine ID" dataDxfId="54"/>
    <tableColumn id="5" name="Qty" dataDxfId="55"/>
    <tableColumn id="6" name="Date" dataDxfId="5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4" name="Table4" displayName="Table4" ref="A1:K51" totalsRowShown="0">
  <autoFilter xmlns:etc="http://www.wps.cn/officeDocument/2017/etCustomData" ref="A1:K51" etc:filterBottomFollowUsedRange="0"/>
  <tableColumns count="11">
    <tableColumn id="1" name="Invoice ID" dataDxfId="57"/>
    <tableColumn id="2" name="Patient Name" dataDxfId="58"/>
    <tableColumn id="3" name="Consultation" dataDxfId="59"/>
    <tableColumn id="4" name="Treatment"/>
    <tableColumn id="5" name="Medicine" dataDxfId="60"/>
    <tableColumn id="6" name="Room" dataDxfId="61"/>
    <tableColumn id="7" name="Other" dataDxfId="62"/>
    <tableColumn id="8" name="Total" dataDxfId="63">
      <calculatedColumnFormula>SUM(C2:G2)</calculatedColumnFormula>
    </tableColumn>
    <tableColumn id="9" name="Paid" dataDxfId="64"/>
    <tableColumn id="10" name="Balance" dataDxfId="65">
      <calculatedColumnFormula>H2-I2</calculatedColumnFormula>
    </tableColumn>
    <tableColumn id="11" name="Status" dataDxfId="6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5" name="Table12_6" displayName="Table12_6" ref="A1:B8" totalsRowShown="0">
  <autoFilter xmlns:etc="http://www.wps.cn/officeDocument/2017/etCustomData" ref="A1:B8" etc:filterBottomFollowUsedRange="0"/>
  <tableColumns count="2">
    <tableColumn id="1" name="Metric" dataDxfId="67"/>
    <tableColumn id="2" name="Value" dataDxfId="68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6" name="Table6" displayName="Table6" ref="F1:G8" totalsRowShown="0">
  <autoFilter xmlns:etc="http://www.wps.cn/officeDocument/2017/etCustomData" ref="F1:G8" etc:filterBottomFollowUsedRange="0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zoomScale="70" zoomScaleNormal="70" workbookViewId="0">
      <selection activeCell="B16" sqref="B16"/>
    </sheetView>
  </sheetViews>
  <sheetFormatPr defaultColWidth="9" defaultRowHeight="15"/>
  <cols>
    <col min="1" max="1" width="22.447619047619" customWidth="1"/>
    <col min="2" max="2" width="23.4571428571429" customWidth="1"/>
  </cols>
  <sheetData>
    <row r="1" ht="33.75" spans="4:21">
      <c r="D1" s="27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ht="23.25" spans="1:2">
      <c r="A2" s="1" t="s">
        <v>1</v>
      </c>
      <c r="B2" s="1" t="s">
        <v>2</v>
      </c>
    </row>
    <row r="3" ht="31.5" spans="1:2">
      <c r="A3" s="29" t="s">
        <v>3</v>
      </c>
      <c r="B3" s="30">
        <f>COUNTA(Patients!A2:A51)</f>
        <v>50</v>
      </c>
    </row>
    <row r="4" ht="31.5" spans="1:2">
      <c r="A4" s="29" t="s">
        <v>4</v>
      </c>
      <c r="B4" s="30">
        <f>COUNTA(Doctors!A2:A11)</f>
        <v>10</v>
      </c>
    </row>
    <row r="5" ht="31.5" spans="1:2">
      <c r="A5" s="29" t="s">
        <v>5</v>
      </c>
      <c r="B5" s="30">
        <f>COUNTA(Departments!A2:A6)</f>
        <v>5</v>
      </c>
    </row>
    <row r="6" ht="31.5" spans="1:2">
      <c r="A6" s="29" t="s">
        <v>6</v>
      </c>
      <c r="B6" s="31">
        <f>SUM(Billing!H2:H51)</f>
        <v>46075</v>
      </c>
    </row>
    <row r="7" ht="31.5" spans="1:2">
      <c r="A7" s="29" t="s">
        <v>7</v>
      </c>
      <c r="B7" s="30">
        <f>COUNTIF(Admissions!C2:C51,"Ward A")</f>
        <v>4</v>
      </c>
    </row>
    <row r="8" ht="31.5" spans="1:2">
      <c r="A8" s="29" t="s">
        <v>8</v>
      </c>
      <c r="B8" s="30">
        <f>COUNTIF(Admissions!C2:C51,"Ward B")</f>
        <v>14</v>
      </c>
    </row>
    <row r="9" ht="31.5" spans="1:2">
      <c r="A9" s="29" t="s">
        <v>9</v>
      </c>
      <c r="B9" s="30">
        <f>COUNTIF(Admissions!C2:C51,"Ward C")</f>
        <v>9</v>
      </c>
    </row>
    <row r="10" ht="31.5" spans="1:2">
      <c r="A10" s="29" t="s">
        <v>10</v>
      </c>
      <c r="B10" s="30">
        <f>COUNTIF(Admissions!C2:C51,"Ward D")</f>
        <v>11</v>
      </c>
    </row>
    <row r="11" ht="31.5" spans="1:2">
      <c r="A11" s="29" t="s">
        <v>11</v>
      </c>
      <c r="B11" s="30">
        <f>COUNTIF(Admissions!C2:C51,"Ward E")</f>
        <v>12</v>
      </c>
    </row>
  </sheetData>
  <mergeCells count="1">
    <mergeCell ref="D1:U1"/>
  </mergeCells>
  <pageMargins left="0.75" right="0.75" top="1" bottom="1" header="0.5" footer="0.5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pane ySplit="1" topLeftCell="A33" activePane="bottomLeft" state="frozen"/>
      <selection/>
      <selection pane="bottomLeft" activeCell="I2" sqref="I2:I11"/>
    </sheetView>
  </sheetViews>
  <sheetFormatPr defaultColWidth="9" defaultRowHeight="15"/>
  <cols>
    <col min="1" max="1" width="16.2857142857143" customWidth="1"/>
    <col min="2" max="2" width="15.7142857142857" customWidth="1"/>
    <col min="3" max="3" width="15.8571428571429" customWidth="1"/>
    <col min="4" max="4" width="14" customWidth="1"/>
    <col min="5" max="5" width="15.7142857142857" customWidth="1"/>
    <col min="6" max="6" width="9.85714285714286" customWidth="1"/>
    <col min="7" max="7" width="11.4285714285714" customWidth="1"/>
    <col min="8" max="8" width="14.2857142857143" customWidth="1"/>
    <col min="9" max="9" width="13.8571428571429" customWidth="1"/>
    <col min="10" max="10" width="14.1428571428571" customWidth="1"/>
    <col min="11" max="11" width="17.2857142857143" customWidth="1"/>
  </cols>
  <sheetData>
    <row r="1" spans="1:12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8"/>
      <c r="L1" s="8"/>
    </row>
    <row r="2" spans="1:12">
      <c r="A2" s="8" t="s">
        <v>22</v>
      </c>
      <c r="B2" s="8" t="s">
        <v>23</v>
      </c>
      <c r="C2" s="8" t="s">
        <v>24</v>
      </c>
      <c r="D2" s="8" t="s">
        <v>25</v>
      </c>
      <c r="E2" s="14">
        <v>32874</v>
      </c>
      <c r="F2" s="8">
        <v>36</v>
      </c>
      <c r="G2" s="8" t="s">
        <v>26</v>
      </c>
      <c r="H2" s="8" t="s">
        <v>27</v>
      </c>
      <c r="I2" s="8" t="s">
        <v>28</v>
      </c>
      <c r="J2" s="8" t="s">
        <v>29</v>
      </c>
      <c r="K2" s="8"/>
      <c r="L2" s="8"/>
    </row>
    <row r="3" spans="1:12">
      <c r="A3" s="8" t="s">
        <v>30</v>
      </c>
      <c r="B3" s="8" t="s">
        <v>31</v>
      </c>
      <c r="C3" s="8" t="s">
        <v>32</v>
      </c>
      <c r="D3" s="8" t="s">
        <v>33</v>
      </c>
      <c r="E3" s="14">
        <v>33239</v>
      </c>
      <c r="F3" s="8">
        <v>35</v>
      </c>
      <c r="G3" s="8" t="s">
        <v>26</v>
      </c>
      <c r="H3" s="8" t="s">
        <v>34</v>
      </c>
      <c r="I3" s="8" t="s">
        <v>35</v>
      </c>
      <c r="J3" s="8" t="s">
        <v>29</v>
      </c>
      <c r="K3" s="8"/>
      <c r="L3" s="8"/>
    </row>
    <row r="4" spans="1:12">
      <c r="A4" s="8" t="s">
        <v>36</v>
      </c>
      <c r="B4" s="8" t="s">
        <v>37</v>
      </c>
      <c r="C4" s="8" t="s">
        <v>38</v>
      </c>
      <c r="D4" s="8" t="s">
        <v>25</v>
      </c>
      <c r="E4" s="14">
        <v>33604</v>
      </c>
      <c r="F4" s="8">
        <v>34</v>
      </c>
      <c r="G4" s="8" t="s">
        <v>26</v>
      </c>
      <c r="H4" s="8" t="s">
        <v>39</v>
      </c>
      <c r="I4" s="8" t="s">
        <v>40</v>
      </c>
      <c r="J4" s="8" t="s">
        <v>29</v>
      </c>
      <c r="K4" s="8"/>
      <c r="L4" s="8"/>
    </row>
    <row r="5" spans="1:12">
      <c r="A5" s="8" t="s">
        <v>41</v>
      </c>
      <c r="B5" s="8" t="s">
        <v>42</v>
      </c>
      <c r="C5" s="8" t="s">
        <v>43</v>
      </c>
      <c r="D5" s="8" t="s">
        <v>33</v>
      </c>
      <c r="E5" s="14">
        <v>33970</v>
      </c>
      <c r="F5" s="8">
        <v>33</v>
      </c>
      <c r="G5" s="8" t="s">
        <v>26</v>
      </c>
      <c r="H5" s="8" t="s">
        <v>44</v>
      </c>
      <c r="I5" s="8" t="s">
        <v>45</v>
      </c>
      <c r="J5" s="8" t="s">
        <v>29</v>
      </c>
      <c r="K5" s="8"/>
      <c r="L5" s="26"/>
    </row>
    <row r="6" spans="1:12">
      <c r="A6" s="8" t="s">
        <v>46</v>
      </c>
      <c r="B6" s="8" t="s">
        <v>47</v>
      </c>
      <c r="C6" s="8" t="s">
        <v>48</v>
      </c>
      <c r="D6" s="8" t="s">
        <v>25</v>
      </c>
      <c r="E6" s="14">
        <v>34335</v>
      </c>
      <c r="F6" s="8">
        <v>32</v>
      </c>
      <c r="G6" s="8" t="s">
        <v>26</v>
      </c>
      <c r="H6" s="8" t="s">
        <v>49</v>
      </c>
      <c r="I6" s="8" t="s">
        <v>50</v>
      </c>
      <c r="J6" s="8" t="s">
        <v>29</v>
      </c>
      <c r="K6" s="8"/>
      <c r="L6" s="8"/>
    </row>
    <row r="7" spans="1:12">
      <c r="A7" s="8" t="s">
        <v>51</v>
      </c>
      <c r="B7" s="8" t="s">
        <v>52</v>
      </c>
      <c r="C7" s="8" t="s">
        <v>53</v>
      </c>
      <c r="D7" s="8" t="s">
        <v>33</v>
      </c>
      <c r="E7" s="14">
        <v>34700</v>
      </c>
      <c r="F7" s="8">
        <v>31</v>
      </c>
      <c r="G7" s="8" t="s">
        <v>26</v>
      </c>
      <c r="H7" s="8" t="s">
        <v>54</v>
      </c>
      <c r="I7" s="8" t="s">
        <v>55</v>
      </c>
      <c r="J7" s="8" t="s">
        <v>29</v>
      </c>
      <c r="K7" s="8"/>
      <c r="L7" s="8"/>
    </row>
    <row r="8" spans="1:12">
      <c r="A8" s="8" t="s">
        <v>56</v>
      </c>
      <c r="B8" s="8" t="s">
        <v>57</v>
      </c>
      <c r="C8" s="8" t="s">
        <v>58</v>
      </c>
      <c r="D8" s="8" t="s">
        <v>25</v>
      </c>
      <c r="E8" s="14">
        <v>35065</v>
      </c>
      <c r="F8" s="8">
        <v>30</v>
      </c>
      <c r="G8" s="8" t="s">
        <v>26</v>
      </c>
      <c r="H8" s="8" t="s">
        <v>59</v>
      </c>
      <c r="I8" s="8" t="s">
        <v>60</v>
      </c>
      <c r="J8" s="8" t="s">
        <v>29</v>
      </c>
      <c r="K8" s="8"/>
      <c r="L8" s="8"/>
    </row>
    <row r="9" spans="1:12">
      <c r="A9" s="8" t="s">
        <v>61</v>
      </c>
      <c r="B9" s="8" t="s">
        <v>62</v>
      </c>
      <c r="C9" s="8" t="s">
        <v>63</v>
      </c>
      <c r="D9" s="8" t="s">
        <v>33</v>
      </c>
      <c r="E9" s="14">
        <v>35431</v>
      </c>
      <c r="F9" s="8">
        <v>29</v>
      </c>
      <c r="G9" s="8" t="s">
        <v>26</v>
      </c>
      <c r="H9" s="8" t="s">
        <v>64</v>
      </c>
      <c r="I9" s="8" t="s">
        <v>65</v>
      </c>
      <c r="J9" s="8" t="s">
        <v>29</v>
      </c>
      <c r="K9" s="8"/>
      <c r="L9" s="8"/>
    </row>
    <row r="10" spans="1:12">
      <c r="A10" s="8" t="s">
        <v>66</v>
      </c>
      <c r="B10" s="8" t="s">
        <v>67</v>
      </c>
      <c r="C10" s="8" t="s">
        <v>68</v>
      </c>
      <c r="D10" s="8" t="s">
        <v>25</v>
      </c>
      <c r="E10" s="14">
        <v>35796</v>
      </c>
      <c r="F10" s="8">
        <v>28</v>
      </c>
      <c r="G10" s="8" t="s">
        <v>26</v>
      </c>
      <c r="H10" s="8" t="s">
        <v>69</v>
      </c>
      <c r="I10" s="8" t="s">
        <v>70</v>
      </c>
      <c r="J10" s="8" t="s">
        <v>29</v>
      </c>
      <c r="K10" s="8"/>
      <c r="L10" s="8"/>
    </row>
    <row r="11" spans="1:12">
      <c r="A11" s="8" t="s">
        <v>71</v>
      </c>
      <c r="B11" s="8" t="s">
        <v>72</v>
      </c>
      <c r="C11" s="8" t="s">
        <v>73</v>
      </c>
      <c r="D11" s="8" t="s">
        <v>33</v>
      </c>
      <c r="E11" s="14">
        <v>36161</v>
      </c>
      <c r="F11" s="8">
        <v>27</v>
      </c>
      <c r="G11" s="8" t="s">
        <v>26</v>
      </c>
      <c r="H11" s="8" t="s">
        <v>74</v>
      </c>
      <c r="I11" s="8" t="s">
        <v>75</v>
      </c>
      <c r="J11" s="8" t="s">
        <v>29</v>
      </c>
      <c r="K11" s="8"/>
      <c r="L11" s="8"/>
    </row>
    <row r="12" spans="1:12">
      <c r="A12" s="8" t="s">
        <v>76</v>
      </c>
      <c r="B12" s="8" t="s">
        <v>77</v>
      </c>
      <c r="C12" s="8" t="s">
        <v>24</v>
      </c>
      <c r="D12" s="8" t="s">
        <v>25</v>
      </c>
      <c r="E12" s="14">
        <v>36526</v>
      </c>
      <c r="F12" s="8">
        <v>26</v>
      </c>
      <c r="G12" s="8" t="s">
        <v>26</v>
      </c>
      <c r="H12" s="8" t="s">
        <v>78</v>
      </c>
      <c r="I12" s="8" t="s">
        <v>28</v>
      </c>
      <c r="J12" s="8" t="s">
        <v>29</v>
      </c>
      <c r="K12" s="8"/>
      <c r="L12" s="8"/>
    </row>
    <row r="13" spans="1:12">
      <c r="A13" s="8" t="s">
        <v>79</v>
      </c>
      <c r="B13" s="8" t="s">
        <v>80</v>
      </c>
      <c r="C13" s="8" t="s">
        <v>32</v>
      </c>
      <c r="D13" s="8" t="s">
        <v>33</v>
      </c>
      <c r="E13" s="14">
        <v>36892</v>
      </c>
      <c r="F13" s="8">
        <v>25</v>
      </c>
      <c r="G13" s="8" t="s">
        <v>26</v>
      </c>
      <c r="H13" s="8" t="s">
        <v>81</v>
      </c>
      <c r="I13" s="8" t="s">
        <v>35</v>
      </c>
      <c r="J13" s="8" t="s">
        <v>29</v>
      </c>
      <c r="K13" s="8"/>
      <c r="L13" s="8"/>
    </row>
    <row r="14" spans="1:12">
      <c r="A14" s="8" t="s">
        <v>82</v>
      </c>
      <c r="B14" s="8" t="s">
        <v>83</v>
      </c>
      <c r="C14" s="8" t="s">
        <v>38</v>
      </c>
      <c r="D14" s="8" t="s">
        <v>25</v>
      </c>
      <c r="E14" s="14">
        <v>37257</v>
      </c>
      <c r="F14" s="8">
        <v>24</v>
      </c>
      <c r="G14" s="8" t="s">
        <v>26</v>
      </c>
      <c r="H14" s="8" t="s">
        <v>84</v>
      </c>
      <c r="I14" s="8" t="s">
        <v>40</v>
      </c>
      <c r="J14" s="8" t="s">
        <v>29</v>
      </c>
      <c r="K14" s="8"/>
      <c r="L14" s="8"/>
    </row>
    <row r="15" spans="1:12">
      <c r="A15" s="8" t="s">
        <v>85</v>
      </c>
      <c r="B15" s="8" t="s">
        <v>86</v>
      </c>
      <c r="C15" s="8" t="s">
        <v>43</v>
      </c>
      <c r="D15" s="8" t="s">
        <v>33</v>
      </c>
      <c r="E15" s="14">
        <v>37622</v>
      </c>
      <c r="F15" s="8">
        <v>23</v>
      </c>
      <c r="G15" s="8" t="s">
        <v>26</v>
      </c>
      <c r="H15" s="8" t="s">
        <v>87</v>
      </c>
      <c r="I15" s="8" t="s">
        <v>45</v>
      </c>
      <c r="J15" s="8" t="s">
        <v>29</v>
      </c>
      <c r="K15" s="8"/>
      <c r="L15" s="8"/>
    </row>
    <row r="16" spans="1:12">
      <c r="A16" s="8" t="s">
        <v>88</v>
      </c>
      <c r="B16" s="8" t="s">
        <v>89</v>
      </c>
      <c r="C16" s="8" t="s">
        <v>48</v>
      </c>
      <c r="D16" s="8" t="s">
        <v>25</v>
      </c>
      <c r="E16" s="14">
        <v>37987</v>
      </c>
      <c r="F16" s="8">
        <v>22</v>
      </c>
      <c r="G16" s="8" t="s">
        <v>26</v>
      </c>
      <c r="H16" s="8" t="s">
        <v>90</v>
      </c>
      <c r="I16" s="8" t="s">
        <v>50</v>
      </c>
      <c r="J16" s="8" t="s">
        <v>29</v>
      </c>
      <c r="K16" s="8"/>
      <c r="L16" s="8"/>
    </row>
    <row r="17" spans="1:12">
      <c r="A17" s="8" t="s">
        <v>91</v>
      </c>
      <c r="B17" s="8" t="s">
        <v>92</v>
      </c>
      <c r="C17" s="8" t="s">
        <v>53</v>
      </c>
      <c r="D17" s="8" t="s">
        <v>33</v>
      </c>
      <c r="E17" s="14">
        <v>38353</v>
      </c>
      <c r="F17" s="8">
        <v>21</v>
      </c>
      <c r="G17" s="8" t="s">
        <v>26</v>
      </c>
      <c r="H17" s="8" t="s">
        <v>93</v>
      </c>
      <c r="I17" s="8" t="s">
        <v>55</v>
      </c>
      <c r="J17" s="8" t="s">
        <v>29</v>
      </c>
      <c r="K17" s="8"/>
      <c r="L17" s="8"/>
    </row>
    <row r="18" spans="1:12">
      <c r="A18" s="8" t="s">
        <v>94</v>
      </c>
      <c r="B18" s="8" t="s">
        <v>95</v>
      </c>
      <c r="C18" s="8" t="s">
        <v>58</v>
      </c>
      <c r="D18" s="8" t="s">
        <v>25</v>
      </c>
      <c r="E18" s="14">
        <v>38718</v>
      </c>
      <c r="F18" s="8">
        <v>20</v>
      </c>
      <c r="G18" s="8" t="s">
        <v>26</v>
      </c>
      <c r="H18" s="8" t="s">
        <v>96</v>
      </c>
      <c r="I18" s="8" t="s">
        <v>60</v>
      </c>
      <c r="J18" s="8" t="s">
        <v>29</v>
      </c>
      <c r="K18" s="8"/>
      <c r="L18" s="8"/>
    </row>
    <row r="19" spans="1:12">
      <c r="A19" s="8" t="s">
        <v>97</v>
      </c>
      <c r="B19" s="8" t="s">
        <v>98</v>
      </c>
      <c r="C19" s="8" t="s">
        <v>63</v>
      </c>
      <c r="D19" s="8" t="s">
        <v>33</v>
      </c>
      <c r="E19" s="14">
        <v>39083</v>
      </c>
      <c r="F19" s="8">
        <v>19</v>
      </c>
      <c r="G19" s="8" t="s">
        <v>26</v>
      </c>
      <c r="H19" s="8" t="s">
        <v>99</v>
      </c>
      <c r="I19" s="8" t="s">
        <v>65</v>
      </c>
      <c r="J19" s="8" t="s">
        <v>29</v>
      </c>
      <c r="K19" s="8"/>
      <c r="L19" s="8"/>
    </row>
    <row r="20" spans="1:12">
      <c r="A20" s="8" t="s">
        <v>100</v>
      </c>
      <c r="B20" s="8" t="s">
        <v>101</v>
      </c>
      <c r="C20" s="8" t="s">
        <v>68</v>
      </c>
      <c r="D20" s="8" t="s">
        <v>25</v>
      </c>
      <c r="E20" s="14">
        <v>39448</v>
      </c>
      <c r="F20" s="8">
        <v>18</v>
      </c>
      <c r="G20" s="8" t="s">
        <v>26</v>
      </c>
      <c r="H20" s="8" t="s">
        <v>102</v>
      </c>
      <c r="I20" s="8" t="s">
        <v>70</v>
      </c>
      <c r="J20" s="8" t="s">
        <v>29</v>
      </c>
      <c r="K20" s="8"/>
      <c r="L20" s="8"/>
    </row>
    <row r="21" spans="1:12">
      <c r="A21" s="8" t="s">
        <v>103</v>
      </c>
      <c r="B21" s="8" t="s">
        <v>104</v>
      </c>
      <c r="C21" s="8" t="s">
        <v>73</v>
      </c>
      <c r="D21" s="8" t="s">
        <v>33</v>
      </c>
      <c r="E21" s="14">
        <v>39814</v>
      </c>
      <c r="F21" s="8">
        <v>17</v>
      </c>
      <c r="G21" s="8" t="s">
        <v>26</v>
      </c>
      <c r="H21" s="8" t="s">
        <v>105</v>
      </c>
      <c r="I21" s="8" t="s">
        <v>75</v>
      </c>
      <c r="J21" s="8" t="s">
        <v>29</v>
      </c>
      <c r="K21" s="8"/>
      <c r="L21" s="8"/>
    </row>
    <row r="22" spans="1:12">
      <c r="A22" s="8" t="s">
        <v>106</v>
      </c>
      <c r="B22" s="8" t="s">
        <v>107</v>
      </c>
      <c r="C22" s="8" t="s">
        <v>24</v>
      </c>
      <c r="D22" s="8" t="s">
        <v>25</v>
      </c>
      <c r="E22" s="14">
        <v>32874</v>
      </c>
      <c r="F22" s="8">
        <v>36</v>
      </c>
      <c r="G22" s="8" t="s">
        <v>26</v>
      </c>
      <c r="H22" s="8" t="s">
        <v>108</v>
      </c>
      <c r="I22" s="8" t="s">
        <v>28</v>
      </c>
      <c r="J22" s="8" t="s">
        <v>29</v>
      </c>
      <c r="K22" s="8"/>
      <c r="L22" s="8"/>
    </row>
    <row r="23" spans="1:12">
      <c r="A23" s="8" t="s">
        <v>109</v>
      </c>
      <c r="B23" s="8" t="s">
        <v>110</v>
      </c>
      <c r="C23" s="8" t="s">
        <v>32</v>
      </c>
      <c r="D23" s="8" t="s">
        <v>33</v>
      </c>
      <c r="E23" s="14">
        <v>33239</v>
      </c>
      <c r="F23" s="8">
        <v>35</v>
      </c>
      <c r="G23" s="8" t="s">
        <v>26</v>
      </c>
      <c r="H23" s="8" t="s">
        <v>111</v>
      </c>
      <c r="I23" s="8" t="s">
        <v>35</v>
      </c>
      <c r="J23" s="8" t="s">
        <v>29</v>
      </c>
      <c r="K23" s="8"/>
      <c r="L23" s="8"/>
    </row>
    <row r="24" spans="1:12">
      <c r="A24" s="8" t="s">
        <v>112</v>
      </c>
      <c r="B24" s="8" t="s">
        <v>113</v>
      </c>
      <c r="C24" s="8" t="s">
        <v>38</v>
      </c>
      <c r="D24" s="8" t="s">
        <v>25</v>
      </c>
      <c r="E24" s="14">
        <v>33604</v>
      </c>
      <c r="F24" s="8">
        <v>34</v>
      </c>
      <c r="G24" s="8" t="s">
        <v>26</v>
      </c>
      <c r="H24" s="8" t="s">
        <v>114</v>
      </c>
      <c r="I24" s="8" t="s">
        <v>40</v>
      </c>
      <c r="J24" s="8" t="s">
        <v>29</v>
      </c>
      <c r="K24" s="8"/>
      <c r="L24" s="8"/>
    </row>
    <row r="25" spans="1:12">
      <c r="A25" s="8" t="s">
        <v>115</v>
      </c>
      <c r="B25" s="8" t="s">
        <v>116</v>
      </c>
      <c r="C25" s="8" t="s">
        <v>43</v>
      </c>
      <c r="D25" s="8" t="s">
        <v>33</v>
      </c>
      <c r="E25" s="14">
        <v>33970</v>
      </c>
      <c r="F25" s="8">
        <v>33</v>
      </c>
      <c r="G25" s="8" t="s">
        <v>26</v>
      </c>
      <c r="H25" s="8" t="s">
        <v>117</v>
      </c>
      <c r="I25" s="8" t="s">
        <v>45</v>
      </c>
      <c r="J25" s="8" t="s">
        <v>29</v>
      </c>
      <c r="K25" s="8"/>
      <c r="L25" s="8"/>
    </row>
    <row r="26" spans="1:12">
      <c r="A26" s="8" t="s">
        <v>118</v>
      </c>
      <c r="B26" s="8" t="s">
        <v>119</v>
      </c>
      <c r="C26" s="8" t="s">
        <v>48</v>
      </c>
      <c r="D26" s="8" t="s">
        <v>25</v>
      </c>
      <c r="E26" s="14">
        <v>34335</v>
      </c>
      <c r="F26" s="8">
        <v>32</v>
      </c>
      <c r="G26" s="8" t="s">
        <v>26</v>
      </c>
      <c r="H26" s="8" t="s">
        <v>120</v>
      </c>
      <c r="I26" s="8" t="s">
        <v>50</v>
      </c>
      <c r="J26" s="8" t="s">
        <v>29</v>
      </c>
      <c r="K26" s="8"/>
      <c r="L26" s="8"/>
    </row>
    <row r="27" spans="1:12">
      <c r="A27" s="8" t="s">
        <v>121</v>
      </c>
      <c r="B27" s="8" t="s">
        <v>122</v>
      </c>
      <c r="C27" s="8" t="s">
        <v>53</v>
      </c>
      <c r="D27" s="8" t="s">
        <v>33</v>
      </c>
      <c r="E27" s="14">
        <v>34700</v>
      </c>
      <c r="F27" s="8">
        <v>31</v>
      </c>
      <c r="G27" s="8" t="s">
        <v>26</v>
      </c>
      <c r="H27" s="8" t="s">
        <v>123</v>
      </c>
      <c r="I27" s="8" t="s">
        <v>55</v>
      </c>
      <c r="J27" s="8" t="s">
        <v>29</v>
      </c>
      <c r="K27" s="8"/>
      <c r="L27" s="8"/>
    </row>
    <row r="28" spans="1:12">
      <c r="A28" s="8" t="s">
        <v>124</v>
      </c>
      <c r="B28" s="8" t="s">
        <v>125</v>
      </c>
      <c r="C28" s="8" t="s">
        <v>58</v>
      </c>
      <c r="D28" s="8" t="s">
        <v>25</v>
      </c>
      <c r="E28" s="14">
        <v>35065</v>
      </c>
      <c r="F28" s="8">
        <v>30</v>
      </c>
      <c r="G28" s="8" t="s">
        <v>26</v>
      </c>
      <c r="H28" s="8" t="s">
        <v>126</v>
      </c>
      <c r="I28" s="8" t="s">
        <v>60</v>
      </c>
      <c r="J28" s="8" t="s">
        <v>29</v>
      </c>
      <c r="K28" s="8"/>
      <c r="L28" s="8"/>
    </row>
    <row r="29" spans="1:12">
      <c r="A29" s="8" t="s">
        <v>127</v>
      </c>
      <c r="B29" s="8" t="s">
        <v>128</v>
      </c>
      <c r="C29" s="8" t="s">
        <v>63</v>
      </c>
      <c r="D29" s="8" t="s">
        <v>33</v>
      </c>
      <c r="E29" s="14">
        <v>35431</v>
      </c>
      <c r="F29" s="8">
        <v>29</v>
      </c>
      <c r="G29" s="8" t="s">
        <v>26</v>
      </c>
      <c r="H29" s="8" t="s">
        <v>129</v>
      </c>
      <c r="I29" s="8" t="s">
        <v>65</v>
      </c>
      <c r="J29" s="8" t="s">
        <v>29</v>
      </c>
      <c r="K29" s="8"/>
      <c r="L29" s="8"/>
    </row>
    <row r="30" spans="1:12">
      <c r="A30" s="8" t="s">
        <v>130</v>
      </c>
      <c r="B30" s="8" t="s">
        <v>131</v>
      </c>
      <c r="C30" s="8" t="s">
        <v>68</v>
      </c>
      <c r="D30" s="8" t="s">
        <v>25</v>
      </c>
      <c r="E30" s="14">
        <v>35796</v>
      </c>
      <c r="F30" s="8">
        <v>28</v>
      </c>
      <c r="G30" s="8" t="s">
        <v>26</v>
      </c>
      <c r="H30" s="8" t="s">
        <v>132</v>
      </c>
      <c r="I30" s="8" t="s">
        <v>70</v>
      </c>
      <c r="J30" s="8" t="s">
        <v>29</v>
      </c>
      <c r="K30" s="8"/>
      <c r="L30" s="8"/>
    </row>
    <row r="31" spans="1:12">
      <c r="A31" s="8" t="s">
        <v>133</v>
      </c>
      <c r="B31" s="8" t="s">
        <v>134</v>
      </c>
      <c r="C31" s="8" t="s">
        <v>73</v>
      </c>
      <c r="D31" s="8" t="s">
        <v>33</v>
      </c>
      <c r="E31" s="14">
        <v>36161</v>
      </c>
      <c r="F31" s="8">
        <v>27</v>
      </c>
      <c r="G31" s="8" t="s">
        <v>26</v>
      </c>
      <c r="H31" s="8" t="s">
        <v>135</v>
      </c>
      <c r="I31" s="8" t="s">
        <v>75</v>
      </c>
      <c r="J31" s="8" t="s">
        <v>29</v>
      </c>
      <c r="K31" s="8"/>
      <c r="L31" s="8"/>
    </row>
    <row r="32" spans="1:12">
      <c r="A32" s="8" t="s">
        <v>136</v>
      </c>
      <c r="B32" s="8" t="s">
        <v>137</v>
      </c>
      <c r="C32" s="8" t="s">
        <v>24</v>
      </c>
      <c r="D32" s="8" t="s">
        <v>25</v>
      </c>
      <c r="E32" s="14">
        <v>36526</v>
      </c>
      <c r="F32" s="8">
        <v>26</v>
      </c>
      <c r="G32" s="8" t="s">
        <v>26</v>
      </c>
      <c r="H32" s="8" t="s">
        <v>138</v>
      </c>
      <c r="I32" s="8" t="s">
        <v>28</v>
      </c>
      <c r="J32" s="8" t="s">
        <v>29</v>
      </c>
      <c r="K32" s="8"/>
      <c r="L32" s="8"/>
    </row>
    <row r="33" spans="1:12">
      <c r="A33" s="8" t="s">
        <v>139</v>
      </c>
      <c r="B33" s="8" t="s">
        <v>140</v>
      </c>
      <c r="C33" s="8" t="s">
        <v>32</v>
      </c>
      <c r="D33" s="8" t="s">
        <v>33</v>
      </c>
      <c r="E33" s="14">
        <v>36892</v>
      </c>
      <c r="F33" s="8">
        <v>25</v>
      </c>
      <c r="G33" s="8" t="s">
        <v>26</v>
      </c>
      <c r="H33" s="8" t="s">
        <v>141</v>
      </c>
      <c r="I33" s="8" t="s">
        <v>35</v>
      </c>
      <c r="J33" s="8" t="s">
        <v>29</v>
      </c>
      <c r="K33" s="8"/>
      <c r="L33" s="8"/>
    </row>
    <row r="34" spans="1:12">
      <c r="A34" s="8" t="s">
        <v>142</v>
      </c>
      <c r="B34" s="8" t="s">
        <v>143</v>
      </c>
      <c r="C34" s="8" t="s">
        <v>38</v>
      </c>
      <c r="D34" s="8" t="s">
        <v>25</v>
      </c>
      <c r="E34" s="14">
        <v>37257</v>
      </c>
      <c r="F34" s="8">
        <v>24</v>
      </c>
      <c r="G34" s="8" t="s">
        <v>26</v>
      </c>
      <c r="H34" s="8" t="s">
        <v>144</v>
      </c>
      <c r="I34" s="8" t="s">
        <v>40</v>
      </c>
      <c r="J34" s="8" t="s">
        <v>29</v>
      </c>
      <c r="K34" s="8"/>
      <c r="L34" s="8"/>
    </row>
    <row r="35" spans="1:12">
      <c r="A35" s="8" t="s">
        <v>145</v>
      </c>
      <c r="B35" s="8" t="s">
        <v>146</v>
      </c>
      <c r="C35" s="8" t="s">
        <v>43</v>
      </c>
      <c r="D35" s="8" t="s">
        <v>33</v>
      </c>
      <c r="E35" s="14">
        <v>37622</v>
      </c>
      <c r="F35" s="8">
        <v>23</v>
      </c>
      <c r="G35" s="8" t="s">
        <v>26</v>
      </c>
      <c r="H35" s="8" t="s">
        <v>147</v>
      </c>
      <c r="I35" s="8" t="s">
        <v>45</v>
      </c>
      <c r="J35" s="8" t="s">
        <v>29</v>
      </c>
      <c r="K35" s="8"/>
      <c r="L35" s="8"/>
    </row>
    <row r="36" spans="1:12">
      <c r="A36" s="8" t="s">
        <v>148</v>
      </c>
      <c r="B36" s="8" t="s">
        <v>149</v>
      </c>
      <c r="C36" s="8" t="s">
        <v>48</v>
      </c>
      <c r="D36" s="8" t="s">
        <v>25</v>
      </c>
      <c r="E36" s="14">
        <v>37987</v>
      </c>
      <c r="F36" s="8">
        <v>22</v>
      </c>
      <c r="G36" s="8" t="s">
        <v>26</v>
      </c>
      <c r="H36" s="8" t="s">
        <v>150</v>
      </c>
      <c r="I36" s="8" t="s">
        <v>50</v>
      </c>
      <c r="J36" s="8" t="s">
        <v>29</v>
      </c>
      <c r="K36" s="8"/>
      <c r="L36" s="8"/>
    </row>
    <row r="37" spans="1:12">
      <c r="A37" s="8" t="s">
        <v>151</v>
      </c>
      <c r="B37" s="8" t="s">
        <v>152</v>
      </c>
      <c r="C37" s="8" t="s">
        <v>53</v>
      </c>
      <c r="D37" s="8" t="s">
        <v>33</v>
      </c>
      <c r="E37" s="14">
        <v>38353</v>
      </c>
      <c r="F37" s="8">
        <v>21</v>
      </c>
      <c r="G37" s="8" t="s">
        <v>26</v>
      </c>
      <c r="H37" s="8" t="s">
        <v>153</v>
      </c>
      <c r="I37" s="8" t="s">
        <v>55</v>
      </c>
      <c r="J37" s="8" t="s">
        <v>29</v>
      </c>
      <c r="K37" s="8"/>
      <c r="L37" s="8"/>
    </row>
    <row r="38" spans="1:12">
      <c r="A38" s="8" t="s">
        <v>154</v>
      </c>
      <c r="B38" s="8" t="s">
        <v>155</v>
      </c>
      <c r="C38" s="8" t="s">
        <v>58</v>
      </c>
      <c r="D38" s="8" t="s">
        <v>25</v>
      </c>
      <c r="E38" s="14">
        <v>38718</v>
      </c>
      <c r="F38" s="8">
        <v>20</v>
      </c>
      <c r="G38" s="8" t="s">
        <v>26</v>
      </c>
      <c r="H38" s="8" t="s">
        <v>156</v>
      </c>
      <c r="I38" s="8" t="s">
        <v>60</v>
      </c>
      <c r="J38" s="8" t="s">
        <v>29</v>
      </c>
      <c r="K38" s="8"/>
      <c r="L38" s="8"/>
    </row>
    <row r="39" spans="1:12">
      <c r="A39" s="8" t="s">
        <v>157</v>
      </c>
      <c r="B39" s="8" t="s">
        <v>158</v>
      </c>
      <c r="C39" s="8" t="s">
        <v>63</v>
      </c>
      <c r="D39" s="8" t="s">
        <v>33</v>
      </c>
      <c r="E39" s="14">
        <v>39083</v>
      </c>
      <c r="F39" s="8">
        <v>19</v>
      </c>
      <c r="G39" s="8" t="s">
        <v>26</v>
      </c>
      <c r="H39" s="8" t="s">
        <v>159</v>
      </c>
      <c r="I39" s="8" t="s">
        <v>65</v>
      </c>
      <c r="J39" s="8" t="s">
        <v>29</v>
      </c>
      <c r="K39" s="8"/>
      <c r="L39" s="8"/>
    </row>
    <row r="40" spans="1:12">
      <c r="A40" s="8" t="s">
        <v>160</v>
      </c>
      <c r="B40" s="8" t="s">
        <v>161</v>
      </c>
      <c r="C40" s="8" t="s">
        <v>68</v>
      </c>
      <c r="D40" s="8" t="s">
        <v>25</v>
      </c>
      <c r="E40" s="14">
        <v>39448</v>
      </c>
      <c r="F40" s="8">
        <v>18</v>
      </c>
      <c r="G40" s="8" t="s">
        <v>26</v>
      </c>
      <c r="H40" s="8" t="s">
        <v>162</v>
      </c>
      <c r="I40" s="8" t="s">
        <v>70</v>
      </c>
      <c r="J40" s="8" t="s">
        <v>29</v>
      </c>
      <c r="K40" s="8"/>
      <c r="L40" s="8"/>
    </row>
    <row r="41" spans="1:12">
      <c r="A41" s="8" t="s">
        <v>163</v>
      </c>
      <c r="B41" s="8" t="s">
        <v>164</v>
      </c>
      <c r="C41" s="8" t="s">
        <v>73</v>
      </c>
      <c r="D41" s="8" t="s">
        <v>33</v>
      </c>
      <c r="E41" s="14">
        <v>39814</v>
      </c>
      <c r="F41" s="8">
        <v>17</v>
      </c>
      <c r="G41" s="8" t="s">
        <v>26</v>
      </c>
      <c r="H41" s="8" t="s">
        <v>165</v>
      </c>
      <c r="I41" s="8" t="s">
        <v>75</v>
      </c>
      <c r="J41" s="8" t="s">
        <v>29</v>
      </c>
      <c r="K41" s="8"/>
      <c r="L41" s="8"/>
    </row>
    <row r="42" spans="1:12">
      <c r="A42" s="8" t="s">
        <v>166</v>
      </c>
      <c r="B42" s="8" t="s">
        <v>167</v>
      </c>
      <c r="C42" s="8" t="s">
        <v>24</v>
      </c>
      <c r="D42" s="8" t="s">
        <v>25</v>
      </c>
      <c r="E42" s="14">
        <v>32874</v>
      </c>
      <c r="F42" s="8">
        <v>36</v>
      </c>
      <c r="G42" s="8" t="s">
        <v>26</v>
      </c>
      <c r="H42" s="8" t="s">
        <v>168</v>
      </c>
      <c r="I42" s="8" t="s">
        <v>28</v>
      </c>
      <c r="J42" s="8" t="s">
        <v>29</v>
      </c>
      <c r="K42" s="8"/>
      <c r="L42" s="8"/>
    </row>
    <row r="43" spans="1:12">
      <c r="A43" s="8" t="s">
        <v>169</v>
      </c>
      <c r="B43" s="8" t="s">
        <v>170</v>
      </c>
      <c r="C43" s="8" t="s">
        <v>32</v>
      </c>
      <c r="D43" s="8" t="s">
        <v>33</v>
      </c>
      <c r="E43" s="14">
        <v>33239</v>
      </c>
      <c r="F43" s="8">
        <v>35</v>
      </c>
      <c r="G43" s="8" t="s">
        <v>26</v>
      </c>
      <c r="H43" s="8" t="s">
        <v>171</v>
      </c>
      <c r="I43" s="8" t="s">
        <v>35</v>
      </c>
      <c r="J43" s="8" t="s">
        <v>29</v>
      </c>
      <c r="K43" s="8"/>
      <c r="L43" s="8"/>
    </row>
    <row r="44" spans="1:12">
      <c r="A44" s="8" t="s">
        <v>172</v>
      </c>
      <c r="B44" s="8" t="s">
        <v>173</v>
      </c>
      <c r="C44" s="8" t="s">
        <v>38</v>
      </c>
      <c r="D44" s="8" t="s">
        <v>25</v>
      </c>
      <c r="E44" s="14">
        <v>33604</v>
      </c>
      <c r="F44" s="8">
        <v>34</v>
      </c>
      <c r="G44" s="8" t="s">
        <v>26</v>
      </c>
      <c r="H44" s="8" t="s">
        <v>174</v>
      </c>
      <c r="I44" s="8" t="s">
        <v>40</v>
      </c>
      <c r="J44" s="8" t="s">
        <v>29</v>
      </c>
      <c r="K44" s="8"/>
      <c r="L44" s="8"/>
    </row>
    <row r="45" spans="1:12">
      <c r="A45" s="8" t="s">
        <v>175</v>
      </c>
      <c r="B45" s="8" t="s">
        <v>176</v>
      </c>
      <c r="C45" s="8" t="s">
        <v>43</v>
      </c>
      <c r="D45" s="8" t="s">
        <v>33</v>
      </c>
      <c r="E45" s="14">
        <v>33970</v>
      </c>
      <c r="F45" s="8">
        <v>33</v>
      </c>
      <c r="G45" s="8" t="s">
        <v>26</v>
      </c>
      <c r="H45" s="8" t="s">
        <v>177</v>
      </c>
      <c r="I45" s="8" t="s">
        <v>45</v>
      </c>
      <c r="J45" s="8" t="s">
        <v>29</v>
      </c>
      <c r="K45" s="8"/>
      <c r="L45" s="8"/>
    </row>
    <row r="46" spans="1:12">
      <c r="A46" s="8" t="s">
        <v>178</v>
      </c>
      <c r="B46" s="8" t="s">
        <v>179</v>
      </c>
      <c r="C46" s="8" t="s">
        <v>48</v>
      </c>
      <c r="D46" s="8" t="s">
        <v>25</v>
      </c>
      <c r="E46" s="14">
        <v>34335</v>
      </c>
      <c r="F46" s="8">
        <v>32</v>
      </c>
      <c r="G46" s="8" t="s">
        <v>26</v>
      </c>
      <c r="H46" s="8" t="s">
        <v>180</v>
      </c>
      <c r="I46" s="8" t="s">
        <v>50</v>
      </c>
      <c r="J46" s="8" t="s">
        <v>29</v>
      </c>
      <c r="K46" s="8"/>
      <c r="L46" s="8"/>
    </row>
    <row r="47" spans="1:12">
      <c r="A47" s="8" t="s">
        <v>181</v>
      </c>
      <c r="B47" s="8" t="s">
        <v>182</v>
      </c>
      <c r="C47" s="8" t="s">
        <v>53</v>
      </c>
      <c r="D47" s="8" t="s">
        <v>33</v>
      </c>
      <c r="E47" s="14">
        <v>34700</v>
      </c>
      <c r="F47" s="8">
        <v>31</v>
      </c>
      <c r="G47" s="8" t="s">
        <v>26</v>
      </c>
      <c r="H47" s="8" t="s">
        <v>183</v>
      </c>
      <c r="I47" s="8" t="s">
        <v>55</v>
      </c>
      <c r="J47" s="8" t="s">
        <v>29</v>
      </c>
      <c r="K47" s="8"/>
      <c r="L47" s="8"/>
    </row>
    <row r="48" spans="1:12">
      <c r="A48" s="8" t="s">
        <v>184</v>
      </c>
      <c r="B48" s="8" t="s">
        <v>185</v>
      </c>
      <c r="C48" s="8" t="s">
        <v>58</v>
      </c>
      <c r="D48" s="8" t="s">
        <v>25</v>
      </c>
      <c r="E48" s="14">
        <v>35065</v>
      </c>
      <c r="F48" s="8">
        <v>30</v>
      </c>
      <c r="G48" s="8" t="s">
        <v>26</v>
      </c>
      <c r="H48" s="8" t="s">
        <v>186</v>
      </c>
      <c r="I48" s="8" t="s">
        <v>60</v>
      </c>
      <c r="J48" s="8" t="s">
        <v>29</v>
      </c>
      <c r="K48" s="8"/>
      <c r="L48" s="8"/>
    </row>
    <row r="49" spans="1:12">
      <c r="A49" s="8" t="s">
        <v>187</v>
      </c>
      <c r="B49" s="8" t="s">
        <v>188</v>
      </c>
      <c r="C49" s="8" t="s">
        <v>63</v>
      </c>
      <c r="D49" s="8" t="s">
        <v>33</v>
      </c>
      <c r="E49" s="14">
        <v>35431</v>
      </c>
      <c r="F49" s="8">
        <v>29</v>
      </c>
      <c r="G49" s="8" t="s">
        <v>26</v>
      </c>
      <c r="H49" s="8" t="s">
        <v>189</v>
      </c>
      <c r="I49" s="8" t="s">
        <v>65</v>
      </c>
      <c r="J49" s="8" t="s">
        <v>29</v>
      </c>
      <c r="K49" s="8"/>
      <c r="L49" s="8"/>
    </row>
    <row r="50" spans="1:12">
      <c r="A50" s="8" t="s">
        <v>190</v>
      </c>
      <c r="B50" s="8" t="s">
        <v>191</v>
      </c>
      <c r="C50" s="8" t="s">
        <v>68</v>
      </c>
      <c r="D50" s="8" t="s">
        <v>25</v>
      </c>
      <c r="E50" s="14">
        <v>35796</v>
      </c>
      <c r="F50" s="8">
        <v>28</v>
      </c>
      <c r="G50" s="8" t="s">
        <v>26</v>
      </c>
      <c r="H50" s="8" t="s">
        <v>192</v>
      </c>
      <c r="I50" s="8" t="s">
        <v>70</v>
      </c>
      <c r="J50" s="8" t="s">
        <v>29</v>
      </c>
      <c r="K50" s="8"/>
      <c r="L50" s="8"/>
    </row>
    <row r="51" spans="1:12">
      <c r="A51" s="8" t="s">
        <v>193</v>
      </c>
      <c r="B51" s="8" t="s">
        <v>194</v>
      </c>
      <c r="C51" s="8" t="s">
        <v>73</v>
      </c>
      <c r="D51" s="8" t="s">
        <v>33</v>
      </c>
      <c r="E51" s="14">
        <v>36161</v>
      </c>
      <c r="F51" s="8">
        <v>27</v>
      </c>
      <c r="G51" s="8" t="s">
        <v>26</v>
      </c>
      <c r="H51" s="8" t="s">
        <v>195</v>
      </c>
      <c r="I51" s="8" t="s">
        <v>75</v>
      </c>
      <c r="J51" s="8" t="s">
        <v>29</v>
      </c>
      <c r="K51" s="8"/>
      <c r="L51" s="8"/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9.14285714285714" defaultRowHeight="15" outlineLevelCol="2"/>
  <sheetData>
    <row r="3" spans="1:3">
      <c r="A3" s="15"/>
      <c r="B3" s="16"/>
      <c r="C3" s="17"/>
    </row>
    <row r="4" spans="1:3">
      <c r="A4" s="18"/>
      <c r="B4" s="19"/>
      <c r="C4" s="20"/>
    </row>
    <row r="5" spans="1:3">
      <c r="A5" s="18"/>
      <c r="B5" s="19"/>
      <c r="C5" s="20"/>
    </row>
    <row r="6" spans="1:3">
      <c r="A6" s="18"/>
      <c r="B6" s="19"/>
      <c r="C6" s="20"/>
    </row>
    <row r="7" spans="1:3">
      <c r="A7" s="18"/>
      <c r="B7" s="19"/>
      <c r="C7" s="20"/>
    </row>
    <row r="8" spans="1:3">
      <c r="A8" s="18"/>
      <c r="B8" s="19"/>
      <c r="C8" s="20"/>
    </row>
    <row r="9" spans="1:3">
      <c r="A9" s="18"/>
      <c r="B9" s="19"/>
      <c r="C9" s="20"/>
    </row>
    <row r="10" spans="1:3">
      <c r="A10" s="18"/>
      <c r="B10" s="19"/>
      <c r="C10" s="20"/>
    </row>
    <row r="11" spans="1:3">
      <c r="A11" s="18"/>
      <c r="B11" s="19"/>
      <c r="C11" s="20"/>
    </row>
    <row r="12" spans="1:3">
      <c r="A12" s="18"/>
      <c r="B12" s="19"/>
      <c r="C12" s="20"/>
    </row>
    <row r="13" spans="1:3">
      <c r="A13" s="18"/>
      <c r="B13" s="19"/>
      <c r="C13" s="20"/>
    </row>
    <row r="14" spans="1:3">
      <c r="A14" s="18"/>
      <c r="B14" s="19"/>
      <c r="C14" s="20"/>
    </row>
    <row r="15" spans="1:3">
      <c r="A15" s="18"/>
      <c r="B15" s="19"/>
      <c r="C15" s="20"/>
    </row>
    <row r="16" spans="1:3">
      <c r="A16" s="18"/>
      <c r="B16" s="19"/>
      <c r="C16" s="20"/>
    </row>
    <row r="17" spans="1:3">
      <c r="A17" s="18"/>
      <c r="B17" s="19"/>
      <c r="C17" s="20"/>
    </row>
    <row r="18" spans="1:3">
      <c r="A18" s="18"/>
      <c r="B18" s="19"/>
      <c r="C18" s="20"/>
    </row>
    <row r="19" spans="1:3">
      <c r="A19" s="18"/>
      <c r="B19" s="19"/>
      <c r="C19" s="20"/>
    </row>
    <row r="20" spans="1:3">
      <c r="A20" s="21"/>
      <c r="B20" s="22"/>
      <c r="C20" s="2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D20" sqref="D20"/>
    </sheetView>
  </sheetViews>
  <sheetFormatPr defaultColWidth="9" defaultRowHeight="15" outlineLevelCol="7"/>
  <cols>
    <col min="2" max="2" width="19.2857142857143" customWidth="1"/>
    <col min="3" max="3" width="16.2857142857143" customWidth="1"/>
    <col min="4" max="4" width="13.8571428571429" customWidth="1"/>
    <col min="5" max="5" width="18.5714285714286" customWidth="1"/>
    <col min="6" max="6" width="13.8571428571429" customWidth="1"/>
    <col min="7" max="7" width="19.5714285714286" customWidth="1"/>
    <col min="8" max="8" width="13.4285714285714" customWidth="1"/>
  </cols>
  <sheetData>
    <row r="1" spans="1:8">
      <c r="A1" s="7" t="s">
        <v>196</v>
      </c>
      <c r="B1" s="7" t="s">
        <v>197</v>
      </c>
      <c r="C1" s="7" t="s">
        <v>198</v>
      </c>
      <c r="D1" s="7" t="s">
        <v>199</v>
      </c>
      <c r="E1" s="7" t="s">
        <v>200</v>
      </c>
      <c r="F1" s="7" t="s">
        <v>19</v>
      </c>
      <c r="G1" s="7" t="s">
        <v>201</v>
      </c>
      <c r="H1" s="7" t="s">
        <v>202</v>
      </c>
    </row>
    <row r="2" spans="1:8">
      <c r="A2" s="8" t="s">
        <v>203</v>
      </c>
      <c r="B2" t="s">
        <v>204</v>
      </c>
      <c r="C2" s="8" t="s">
        <v>205</v>
      </c>
      <c r="D2" s="8" t="s">
        <v>206</v>
      </c>
      <c r="E2" s="8" t="s">
        <v>207</v>
      </c>
      <c r="F2" s="8" t="s">
        <v>34</v>
      </c>
      <c r="G2" s="8" t="s">
        <v>208</v>
      </c>
      <c r="H2" s="8">
        <v>6</v>
      </c>
    </row>
    <row r="3" spans="1:8">
      <c r="A3" s="8" t="s">
        <v>209</v>
      </c>
      <c r="B3" t="s">
        <v>210</v>
      </c>
      <c r="C3" s="8" t="s">
        <v>211</v>
      </c>
      <c r="D3" s="8" t="s">
        <v>206</v>
      </c>
      <c r="E3" s="8" t="s">
        <v>207</v>
      </c>
      <c r="F3" s="8" t="s">
        <v>39</v>
      </c>
      <c r="G3" s="8" t="s">
        <v>212</v>
      </c>
      <c r="H3" s="8">
        <v>7</v>
      </c>
    </row>
    <row r="4" spans="1:8">
      <c r="A4" s="8" t="s">
        <v>213</v>
      </c>
      <c r="B4" t="s">
        <v>214</v>
      </c>
      <c r="C4" s="8" t="s">
        <v>215</v>
      </c>
      <c r="D4" s="8" t="s">
        <v>206</v>
      </c>
      <c r="E4" s="8" t="s">
        <v>207</v>
      </c>
      <c r="F4" s="8" t="s">
        <v>44</v>
      </c>
      <c r="G4" s="8" t="s">
        <v>216</v>
      </c>
      <c r="H4" s="8">
        <v>8</v>
      </c>
    </row>
    <row r="5" spans="1:8">
      <c r="A5" s="8" t="s">
        <v>217</v>
      </c>
      <c r="B5" t="s">
        <v>218</v>
      </c>
      <c r="C5" s="8" t="s">
        <v>219</v>
      </c>
      <c r="D5" s="8" t="s">
        <v>206</v>
      </c>
      <c r="E5" s="8" t="s">
        <v>207</v>
      </c>
      <c r="F5" s="8" t="s">
        <v>49</v>
      </c>
      <c r="G5" s="8" t="s">
        <v>220</v>
      </c>
      <c r="H5" s="8">
        <v>9</v>
      </c>
    </row>
    <row r="6" spans="1:8">
      <c r="A6" s="8" t="s">
        <v>221</v>
      </c>
      <c r="B6" t="s">
        <v>222</v>
      </c>
      <c r="C6" s="8" t="s">
        <v>223</v>
      </c>
      <c r="D6" s="8" t="s">
        <v>206</v>
      </c>
      <c r="E6" s="8" t="s">
        <v>207</v>
      </c>
      <c r="F6" s="8" t="s">
        <v>54</v>
      </c>
      <c r="G6" s="8" t="s">
        <v>224</v>
      </c>
      <c r="H6" s="8">
        <v>10</v>
      </c>
    </row>
    <row r="7" spans="1:8">
      <c r="A7" s="8" t="s">
        <v>225</v>
      </c>
      <c r="B7" t="s">
        <v>226</v>
      </c>
      <c r="C7" s="8" t="s">
        <v>205</v>
      </c>
      <c r="D7" s="8" t="s">
        <v>206</v>
      </c>
      <c r="E7" s="8" t="s">
        <v>207</v>
      </c>
      <c r="F7" s="8" t="s">
        <v>59</v>
      </c>
      <c r="G7" s="8" t="s">
        <v>227</v>
      </c>
      <c r="H7" s="8">
        <v>11</v>
      </c>
    </row>
    <row r="8" spans="1:8">
      <c r="A8" s="8" t="s">
        <v>228</v>
      </c>
      <c r="B8" t="s">
        <v>229</v>
      </c>
      <c r="C8" s="8" t="s">
        <v>211</v>
      </c>
      <c r="D8" s="8" t="s">
        <v>206</v>
      </c>
      <c r="E8" s="8" t="s">
        <v>207</v>
      </c>
      <c r="F8" s="8" t="s">
        <v>64</v>
      </c>
      <c r="G8" s="8" t="s">
        <v>230</v>
      </c>
      <c r="H8" s="8">
        <v>12</v>
      </c>
    </row>
    <row r="9" spans="1:8">
      <c r="A9" s="8" t="s">
        <v>231</v>
      </c>
      <c r="B9" t="s">
        <v>232</v>
      </c>
      <c r="C9" s="8" t="s">
        <v>215</v>
      </c>
      <c r="D9" s="8" t="s">
        <v>206</v>
      </c>
      <c r="E9" s="8" t="s">
        <v>207</v>
      </c>
      <c r="F9" s="8" t="s">
        <v>69</v>
      </c>
      <c r="G9" s="8" t="s">
        <v>233</v>
      </c>
      <c r="H9" s="8">
        <v>13</v>
      </c>
    </row>
    <row r="10" spans="1:8">
      <c r="A10" s="8" t="s">
        <v>234</v>
      </c>
      <c r="B10" t="s">
        <v>235</v>
      </c>
      <c r="C10" s="8" t="s">
        <v>219</v>
      </c>
      <c r="D10" s="8" t="s">
        <v>206</v>
      </c>
      <c r="E10" s="8" t="s">
        <v>207</v>
      </c>
      <c r="F10" s="8" t="s">
        <v>74</v>
      </c>
      <c r="G10" s="8" t="s">
        <v>236</v>
      </c>
      <c r="H10" s="8">
        <v>14</v>
      </c>
    </row>
    <row r="11" spans="1:8">
      <c r="A11" s="8" t="s">
        <v>237</v>
      </c>
      <c r="B11" t="s">
        <v>238</v>
      </c>
      <c r="C11" s="8" t="s">
        <v>223</v>
      </c>
      <c r="D11" s="8" t="s">
        <v>206</v>
      </c>
      <c r="E11" s="8" t="s">
        <v>207</v>
      </c>
      <c r="F11" s="8" t="s">
        <v>78</v>
      </c>
      <c r="G11" s="8" t="s">
        <v>239</v>
      </c>
      <c r="H11" s="8">
        <v>15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9.14285714285714" defaultRowHeight="15" outlineLevelCol="2"/>
  <sheetData>
    <row r="3" spans="1:3">
      <c r="A3" s="15"/>
      <c r="B3" s="16"/>
      <c r="C3" s="17"/>
    </row>
    <row r="4" spans="1:3">
      <c r="A4" s="18"/>
      <c r="B4" s="19"/>
      <c r="C4" s="20"/>
    </row>
    <row r="5" spans="1:3">
      <c r="A5" s="18"/>
      <c r="B5" s="19"/>
      <c r="C5" s="20"/>
    </row>
    <row r="6" spans="1:3">
      <c r="A6" s="18"/>
      <c r="B6" s="19"/>
      <c r="C6" s="20"/>
    </row>
    <row r="7" spans="1:3">
      <c r="A7" s="18"/>
      <c r="B7" s="19"/>
      <c r="C7" s="20"/>
    </row>
    <row r="8" spans="1:3">
      <c r="A8" s="18"/>
      <c r="B8" s="19"/>
      <c r="C8" s="20"/>
    </row>
    <row r="9" spans="1:3">
      <c r="A9" s="18"/>
      <c r="B9" s="19"/>
      <c r="C9" s="20"/>
    </row>
    <row r="10" spans="1:3">
      <c r="A10" s="18"/>
      <c r="B10" s="19"/>
      <c r="C10" s="20"/>
    </row>
    <row r="11" spans="1:3">
      <c r="A11" s="18"/>
      <c r="B11" s="19"/>
      <c r="C11" s="20"/>
    </row>
    <row r="12" spans="1:3">
      <c r="A12" s="18"/>
      <c r="B12" s="19"/>
      <c r="C12" s="20"/>
    </row>
    <row r="13" spans="1:3">
      <c r="A13" s="18"/>
      <c r="B13" s="19"/>
      <c r="C13" s="20"/>
    </row>
    <row r="14" spans="1:3">
      <c r="A14" s="18"/>
      <c r="B14" s="19"/>
      <c r="C14" s="20"/>
    </row>
    <row r="15" spans="1:3">
      <c r="A15" s="18"/>
      <c r="B15" s="19"/>
      <c r="C15" s="20"/>
    </row>
    <row r="16" spans="1:3">
      <c r="A16" s="18"/>
      <c r="B16" s="19"/>
      <c r="C16" s="20"/>
    </row>
    <row r="17" spans="1:3">
      <c r="A17" s="18"/>
      <c r="B17" s="19"/>
      <c r="C17" s="20"/>
    </row>
    <row r="18" spans="1:3">
      <c r="A18" s="18"/>
      <c r="B18" s="19"/>
      <c r="C18" s="20"/>
    </row>
    <row r="19" spans="1:3">
      <c r="A19" s="18"/>
      <c r="B19" s="19"/>
      <c r="C19" s="20"/>
    </row>
    <row r="20" spans="1:3">
      <c r="A20" s="21"/>
      <c r="B20" s="22"/>
      <c r="C20" s="2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C18" sqref="C18"/>
    </sheetView>
  </sheetViews>
  <sheetFormatPr defaultColWidth="9" defaultRowHeight="15" outlineLevelRow="6" outlineLevelCol="7"/>
  <cols>
    <col min="1" max="1" width="12.2857142857143" customWidth="1"/>
    <col min="2" max="2" width="17" customWidth="1"/>
    <col min="3" max="3" width="12.5714285714286" customWidth="1"/>
    <col min="4" max="4" width="18.8571428571429" customWidth="1"/>
    <col min="5" max="5" width="11.4285714285714" customWidth="1"/>
  </cols>
  <sheetData>
    <row r="1" spans="1:5">
      <c r="A1" s="7" t="s">
        <v>240</v>
      </c>
      <c r="B1" s="7" t="s">
        <v>198</v>
      </c>
      <c r="C1" s="7" t="s">
        <v>241</v>
      </c>
      <c r="D1" s="7" t="s">
        <v>242</v>
      </c>
      <c r="E1" s="7" t="s">
        <v>243</v>
      </c>
    </row>
    <row r="2" spans="1:5">
      <c r="A2" s="8" t="s">
        <v>244</v>
      </c>
      <c r="B2" s="8" t="s">
        <v>205</v>
      </c>
      <c r="C2" s="8">
        <v>1</v>
      </c>
      <c r="D2" s="8" t="s">
        <v>222</v>
      </c>
      <c r="E2" s="8">
        <v>21</v>
      </c>
    </row>
    <row r="3" spans="1:5">
      <c r="A3" s="8" t="s">
        <v>245</v>
      </c>
      <c r="B3" s="8" t="s">
        <v>211</v>
      </c>
      <c r="C3" s="8">
        <v>2</v>
      </c>
      <c r="D3" s="8" t="s">
        <v>226</v>
      </c>
      <c r="E3" s="8">
        <v>22</v>
      </c>
    </row>
    <row r="4" spans="1:5">
      <c r="A4" s="8" t="s">
        <v>246</v>
      </c>
      <c r="B4" s="8" t="s">
        <v>215</v>
      </c>
      <c r="C4" s="8">
        <v>3</v>
      </c>
      <c r="D4" s="8" t="s">
        <v>229</v>
      </c>
      <c r="E4" s="8">
        <v>23</v>
      </c>
    </row>
    <row r="5" spans="1:5">
      <c r="A5" s="8" t="s">
        <v>247</v>
      </c>
      <c r="B5" s="8" t="s">
        <v>219</v>
      </c>
      <c r="C5" s="8">
        <v>4</v>
      </c>
      <c r="D5" s="8" t="s">
        <v>232</v>
      </c>
      <c r="E5" s="8">
        <v>24</v>
      </c>
    </row>
    <row r="6" spans="1:8">
      <c r="A6" s="8" t="s">
        <v>248</v>
      </c>
      <c r="B6" s="8" t="s">
        <v>223</v>
      </c>
      <c r="C6" s="8">
        <v>5</v>
      </c>
      <c r="D6" s="8" t="s">
        <v>235</v>
      </c>
      <c r="E6" s="8">
        <v>25</v>
      </c>
      <c r="H6" t="s">
        <v>249</v>
      </c>
    </row>
    <row r="7" spans="1:5">
      <c r="A7" s="8"/>
      <c r="B7" s="8"/>
      <c r="C7" s="8"/>
      <c r="D7" s="8"/>
      <c r="E7" s="8"/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C16" sqref="C16"/>
    </sheetView>
  </sheetViews>
  <sheetFormatPr defaultColWidth="9.14285714285714" defaultRowHeight="15" outlineLevelCol="1"/>
  <cols>
    <col min="1" max="1" width="19.1428571428571"/>
    <col min="2" max="2" width="25.4285714285714"/>
    <col min="3" max="51" width="18.4285714285714"/>
    <col min="52" max="52" width="11.8571428571429"/>
  </cols>
  <sheetData>
    <row r="3" spans="1:2">
      <c r="A3" t="s">
        <v>197</v>
      </c>
      <c r="B3" t="s">
        <v>250</v>
      </c>
    </row>
    <row r="4" spans="1:2">
      <c r="A4" t="s">
        <v>238</v>
      </c>
      <c r="B4">
        <v>8</v>
      </c>
    </row>
    <row r="5" spans="1:2">
      <c r="A5" t="s">
        <v>218</v>
      </c>
      <c r="B5">
        <v>8</v>
      </c>
    </row>
    <row r="6" spans="1:2">
      <c r="A6" t="s">
        <v>204</v>
      </c>
      <c r="B6">
        <v>3</v>
      </c>
    </row>
    <row r="7" spans="1:2">
      <c r="A7" t="s">
        <v>226</v>
      </c>
      <c r="B7">
        <v>4</v>
      </c>
    </row>
    <row r="8" spans="1:2">
      <c r="A8" t="s">
        <v>229</v>
      </c>
      <c r="B8">
        <v>3</v>
      </c>
    </row>
    <row r="9" spans="1:2">
      <c r="A9" t="s">
        <v>235</v>
      </c>
      <c r="B9">
        <v>6</v>
      </c>
    </row>
    <row r="10" spans="1:2">
      <c r="A10" t="s">
        <v>222</v>
      </c>
      <c r="B10">
        <v>7</v>
      </c>
    </row>
    <row r="11" spans="1:2">
      <c r="A11" t="s">
        <v>210</v>
      </c>
      <c r="B11">
        <v>3</v>
      </c>
    </row>
    <row r="12" spans="1:2">
      <c r="A12" t="s">
        <v>232</v>
      </c>
      <c r="B12">
        <v>3</v>
      </c>
    </row>
    <row r="13" spans="1:2">
      <c r="A13" t="s">
        <v>214</v>
      </c>
      <c r="B13">
        <v>5</v>
      </c>
    </row>
    <row r="14" spans="1:2">
      <c r="A14" t="s">
        <v>251</v>
      </c>
      <c r="B14">
        <v>50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pane ySplit="1" topLeftCell="A2" activePane="bottomLeft" state="frozen"/>
      <selection/>
      <selection pane="bottomLeft" activeCell="I11" sqref="I11"/>
    </sheetView>
  </sheetViews>
  <sheetFormatPr defaultColWidth="9" defaultRowHeight="15" outlineLevelCol="6"/>
  <cols>
    <col min="1" max="1" width="19.5714285714286" customWidth="1"/>
    <col min="2" max="2" width="18.4285714285714" customWidth="1"/>
    <col min="3" max="3" width="20.8571428571429" customWidth="1"/>
    <col min="4" max="4" width="13" customWidth="1"/>
    <col min="5" max="5" width="13.2857142857143" customWidth="1"/>
    <col min="6" max="6" width="17.5714285714286" customWidth="1"/>
    <col min="7" max="7" width="15.8571428571429" customWidth="1"/>
  </cols>
  <sheetData>
    <row r="1" spans="1:7">
      <c r="A1" s="7" t="s">
        <v>252</v>
      </c>
      <c r="B1" s="7" t="s">
        <v>253</v>
      </c>
      <c r="C1" s="7" t="s">
        <v>197</v>
      </c>
      <c r="D1" s="7" t="s">
        <v>254</v>
      </c>
      <c r="E1" s="7" t="s">
        <v>255</v>
      </c>
      <c r="F1" s="7" t="s">
        <v>256</v>
      </c>
      <c r="G1" s="7" t="s">
        <v>257</v>
      </c>
    </row>
    <row r="2" spans="1:7">
      <c r="A2" s="8" t="s">
        <v>258</v>
      </c>
      <c r="B2" s="8" t="s">
        <v>23</v>
      </c>
      <c r="C2" t="s">
        <v>204</v>
      </c>
      <c r="D2" s="14">
        <v>46204</v>
      </c>
      <c r="E2" s="8" t="s">
        <v>259</v>
      </c>
      <c r="F2" s="24" t="str">
        <f>Treatments!D2</f>
        <v>Consultation</v>
      </c>
      <c r="G2" s="8" t="s">
        <v>260</v>
      </c>
    </row>
    <row r="3" spans="1:7">
      <c r="A3" s="8" t="s">
        <v>261</v>
      </c>
      <c r="B3" s="8" t="s">
        <v>31</v>
      </c>
      <c r="C3" t="s">
        <v>210</v>
      </c>
      <c r="D3" s="14">
        <v>46205</v>
      </c>
      <c r="E3" s="8" t="s">
        <v>259</v>
      </c>
      <c r="F3" s="24" t="str">
        <f>Treatments!D3</f>
        <v>X-ray</v>
      </c>
      <c r="G3" s="8" t="s">
        <v>260</v>
      </c>
    </row>
    <row r="4" spans="1:7">
      <c r="A4" s="8" t="s">
        <v>262</v>
      </c>
      <c r="B4" s="8" t="s">
        <v>37</v>
      </c>
      <c r="C4" t="s">
        <v>214</v>
      </c>
      <c r="D4" s="14">
        <v>46206</v>
      </c>
      <c r="E4" s="8" t="s">
        <v>259</v>
      </c>
      <c r="F4" s="24" t="str">
        <f>Treatments!D4</f>
        <v>Blood Test</v>
      </c>
      <c r="G4" s="8" t="s">
        <v>260</v>
      </c>
    </row>
    <row r="5" spans="1:7">
      <c r="A5" s="8" t="s">
        <v>263</v>
      </c>
      <c r="B5" s="8" t="s">
        <v>42</v>
      </c>
      <c r="C5" t="s">
        <v>218</v>
      </c>
      <c r="D5" s="14">
        <v>46207</v>
      </c>
      <c r="E5" s="8" t="s">
        <v>259</v>
      </c>
      <c r="F5" s="24" t="str">
        <f>Treatments!D5</f>
        <v>Surgery</v>
      </c>
      <c r="G5" s="8" t="s">
        <v>260</v>
      </c>
    </row>
    <row r="6" spans="1:7">
      <c r="A6" s="8" t="s">
        <v>264</v>
      </c>
      <c r="B6" s="8" t="s">
        <v>47</v>
      </c>
      <c r="C6" t="s">
        <v>222</v>
      </c>
      <c r="D6" s="14">
        <v>46208</v>
      </c>
      <c r="E6" s="8" t="s">
        <v>259</v>
      </c>
      <c r="F6" s="24" t="str">
        <f>Treatments!D6</f>
        <v>Physiotherapy</v>
      </c>
      <c r="G6" s="8" t="s">
        <v>260</v>
      </c>
    </row>
    <row r="7" spans="1:7">
      <c r="A7" s="8" t="s">
        <v>265</v>
      </c>
      <c r="B7" s="8" t="s">
        <v>52</v>
      </c>
      <c r="C7" t="s">
        <v>226</v>
      </c>
      <c r="D7" s="14">
        <v>46209</v>
      </c>
      <c r="E7" s="8" t="s">
        <v>259</v>
      </c>
      <c r="F7" s="24" t="str">
        <f>Treatments!D7</f>
        <v>Vaccination</v>
      </c>
      <c r="G7" s="8" t="s">
        <v>260</v>
      </c>
    </row>
    <row r="8" spans="1:7">
      <c r="A8" s="8" t="s">
        <v>266</v>
      </c>
      <c r="B8" s="8" t="s">
        <v>57</v>
      </c>
      <c r="C8" t="s">
        <v>229</v>
      </c>
      <c r="D8" s="14">
        <v>46210</v>
      </c>
      <c r="E8" s="8" t="s">
        <v>259</v>
      </c>
      <c r="F8" s="24" t="str">
        <f>Treatments!D8</f>
        <v>MRI Scan</v>
      </c>
      <c r="G8" s="8" t="s">
        <v>260</v>
      </c>
    </row>
    <row r="9" spans="1:7">
      <c r="A9" s="8" t="s">
        <v>267</v>
      </c>
      <c r="B9" s="8" t="s">
        <v>62</v>
      </c>
      <c r="C9" t="s">
        <v>232</v>
      </c>
      <c r="D9" s="14">
        <v>46211</v>
      </c>
      <c r="E9" s="8" t="s">
        <v>259</v>
      </c>
      <c r="F9" s="24" t="str">
        <f>Treatments!D9</f>
        <v>CT Scan</v>
      </c>
      <c r="G9" s="8" t="s">
        <v>260</v>
      </c>
    </row>
    <row r="10" spans="1:7">
      <c r="A10" s="8" t="s">
        <v>268</v>
      </c>
      <c r="B10" s="8" t="s">
        <v>67</v>
      </c>
      <c r="C10" t="s">
        <v>235</v>
      </c>
      <c r="D10" s="14">
        <v>46212</v>
      </c>
      <c r="E10" s="8" t="s">
        <v>259</v>
      </c>
      <c r="F10" s="24" t="str">
        <f>Treatments!D10</f>
        <v>Eye Exaimination</v>
      </c>
      <c r="G10" s="8" t="s">
        <v>260</v>
      </c>
    </row>
    <row r="11" spans="1:7">
      <c r="A11" s="8" t="s">
        <v>269</v>
      </c>
      <c r="B11" s="8" t="s">
        <v>72</v>
      </c>
      <c r="C11" t="s">
        <v>238</v>
      </c>
      <c r="D11" s="14">
        <v>46213</v>
      </c>
      <c r="E11" s="8" t="s">
        <v>259</v>
      </c>
      <c r="F11" s="24" t="str">
        <f>Treatments!D11</f>
        <v>Postnatal Care</v>
      </c>
      <c r="G11" s="8" t="s">
        <v>260</v>
      </c>
    </row>
    <row r="12" spans="1:7">
      <c r="A12" s="8" t="s">
        <v>270</v>
      </c>
      <c r="B12" s="8" t="s">
        <v>77</v>
      </c>
      <c r="C12" t="s">
        <v>204</v>
      </c>
      <c r="D12" s="14">
        <v>46214</v>
      </c>
      <c r="E12" s="8" t="s">
        <v>259</v>
      </c>
      <c r="F12" s="24" t="str">
        <f>Treatments!D12</f>
        <v>Emergency</v>
      </c>
      <c r="G12" s="8" t="s">
        <v>260</v>
      </c>
    </row>
    <row r="13" spans="1:7">
      <c r="A13" s="8" t="s">
        <v>271</v>
      </c>
      <c r="B13" s="8" t="s">
        <v>80</v>
      </c>
      <c r="C13" t="s">
        <v>210</v>
      </c>
      <c r="D13" s="14">
        <v>46215</v>
      </c>
      <c r="E13" s="8" t="s">
        <v>259</v>
      </c>
      <c r="F13" s="24" t="str">
        <f>Treatments!D13</f>
        <v>Antenatal</v>
      </c>
      <c r="G13" s="8" t="s">
        <v>260</v>
      </c>
    </row>
    <row r="14" spans="1:7">
      <c r="A14" s="8" t="s">
        <v>272</v>
      </c>
      <c r="B14" s="8" t="s">
        <v>83</v>
      </c>
      <c r="C14" t="s">
        <v>214</v>
      </c>
      <c r="D14" s="14">
        <v>46216</v>
      </c>
      <c r="E14" s="8" t="s">
        <v>259</v>
      </c>
      <c r="F14" s="24" t="str">
        <f>Treatments!D14</f>
        <v>Surgery</v>
      </c>
      <c r="G14" s="8" t="s">
        <v>260</v>
      </c>
    </row>
    <row r="15" spans="1:7">
      <c r="A15" s="8" t="s">
        <v>273</v>
      </c>
      <c r="B15" s="8" t="s">
        <v>86</v>
      </c>
      <c r="C15" t="s">
        <v>218</v>
      </c>
      <c r="D15" s="14">
        <v>46217</v>
      </c>
      <c r="E15" s="8" t="s">
        <v>259</v>
      </c>
      <c r="F15" s="24" t="str">
        <f>Treatments!D15</f>
        <v>Physiotherapy</v>
      </c>
      <c r="G15" s="8" t="s">
        <v>260</v>
      </c>
    </row>
    <row r="16" spans="1:7">
      <c r="A16" s="8" t="s">
        <v>274</v>
      </c>
      <c r="B16" s="8" t="s">
        <v>89</v>
      </c>
      <c r="C16" t="s">
        <v>222</v>
      </c>
      <c r="D16" s="14">
        <v>46218</v>
      </c>
      <c r="E16" s="8" t="s">
        <v>259</v>
      </c>
      <c r="F16" s="24" t="str">
        <f>Treatments!D16</f>
        <v>Vaccination</v>
      </c>
      <c r="G16" s="8" t="s">
        <v>260</v>
      </c>
    </row>
    <row r="17" spans="1:7">
      <c r="A17" s="8" t="s">
        <v>275</v>
      </c>
      <c r="B17" s="8" t="s">
        <v>92</v>
      </c>
      <c r="C17" t="s">
        <v>226</v>
      </c>
      <c r="D17" s="14">
        <v>46219</v>
      </c>
      <c r="E17" s="8" t="s">
        <v>259</v>
      </c>
      <c r="F17" s="24" t="str">
        <f>Treatments!D17</f>
        <v>MRI Scan</v>
      </c>
      <c r="G17" s="8" t="s">
        <v>260</v>
      </c>
    </row>
    <row r="18" spans="1:7">
      <c r="A18" s="8" t="s">
        <v>276</v>
      </c>
      <c r="B18" s="8" t="s">
        <v>95</v>
      </c>
      <c r="C18" t="s">
        <v>229</v>
      </c>
      <c r="D18" s="14">
        <v>46220</v>
      </c>
      <c r="E18" s="8" t="s">
        <v>259</v>
      </c>
      <c r="F18" s="24" t="str">
        <f>Treatments!D18</f>
        <v>CT Scan</v>
      </c>
      <c r="G18" s="8" t="s">
        <v>260</v>
      </c>
    </row>
    <row r="19" spans="1:7">
      <c r="A19" s="8" t="s">
        <v>277</v>
      </c>
      <c r="B19" s="8" t="s">
        <v>98</v>
      </c>
      <c r="C19" t="s">
        <v>232</v>
      </c>
      <c r="D19" s="14">
        <v>46221</v>
      </c>
      <c r="E19" s="8" t="s">
        <v>259</v>
      </c>
      <c r="F19" s="24" t="str">
        <f>Treatments!D19</f>
        <v>Laboratory Test</v>
      </c>
      <c r="G19" s="8" t="s">
        <v>260</v>
      </c>
    </row>
    <row r="20" spans="1:7">
      <c r="A20" s="8" t="s">
        <v>278</v>
      </c>
      <c r="B20" s="8" t="s">
        <v>101</v>
      </c>
      <c r="C20" t="s">
        <v>235</v>
      </c>
      <c r="D20" s="14">
        <v>46222</v>
      </c>
      <c r="E20" s="8" t="s">
        <v>259</v>
      </c>
      <c r="F20" s="24" t="str">
        <f>Treatments!D20</f>
        <v>Consultation</v>
      </c>
      <c r="G20" s="8" t="s">
        <v>260</v>
      </c>
    </row>
    <row r="21" spans="1:7">
      <c r="A21" s="8" t="s">
        <v>279</v>
      </c>
      <c r="B21" s="8" t="s">
        <v>104</v>
      </c>
      <c r="C21" t="s">
        <v>238</v>
      </c>
      <c r="D21" s="14">
        <v>46223</v>
      </c>
      <c r="E21" s="8" t="s">
        <v>259</v>
      </c>
      <c r="F21" s="24" t="str">
        <f>Treatments!D21</f>
        <v>Ultrasound</v>
      </c>
      <c r="G21" s="8" t="s">
        <v>260</v>
      </c>
    </row>
    <row r="22" spans="1:7">
      <c r="A22" s="8" t="s">
        <v>280</v>
      </c>
      <c r="B22" s="8" t="s">
        <v>107</v>
      </c>
      <c r="C22" t="s">
        <v>238</v>
      </c>
      <c r="D22" s="14">
        <v>46224</v>
      </c>
      <c r="E22" s="8" t="s">
        <v>259</v>
      </c>
      <c r="F22" s="24" t="str">
        <f>Treatments!D22</f>
        <v>Physiotherapy</v>
      </c>
      <c r="G22" s="8" t="s">
        <v>260</v>
      </c>
    </row>
    <row r="23" spans="1:7">
      <c r="A23" s="8" t="s">
        <v>281</v>
      </c>
      <c r="B23" s="8" t="s">
        <v>110</v>
      </c>
      <c r="C23" t="s">
        <v>218</v>
      </c>
      <c r="D23" s="14">
        <v>46225</v>
      </c>
      <c r="E23" s="8" t="s">
        <v>259</v>
      </c>
      <c r="F23" s="24" t="str">
        <f>Treatments!D23</f>
        <v>Vaccination</v>
      </c>
      <c r="G23" s="8" t="s">
        <v>260</v>
      </c>
    </row>
    <row r="24" spans="1:7">
      <c r="A24" s="8" t="s">
        <v>282</v>
      </c>
      <c r="B24" s="8" t="s">
        <v>113</v>
      </c>
      <c r="C24" t="s">
        <v>222</v>
      </c>
      <c r="D24" s="14">
        <v>46226</v>
      </c>
      <c r="E24" s="8" t="s">
        <v>259</v>
      </c>
      <c r="F24" s="24" t="str">
        <f>Treatments!D24</f>
        <v>General Check Up</v>
      </c>
      <c r="G24" s="8" t="s">
        <v>260</v>
      </c>
    </row>
    <row r="25" spans="1:7">
      <c r="A25" s="8" t="s">
        <v>283</v>
      </c>
      <c r="B25" s="8" t="s">
        <v>116</v>
      </c>
      <c r="C25" t="s">
        <v>226</v>
      </c>
      <c r="D25" s="14">
        <v>46227</v>
      </c>
      <c r="E25" s="8" t="s">
        <v>259</v>
      </c>
      <c r="F25" s="24" t="str">
        <f>Treatments!D25</f>
        <v>X-ray</v>
      </c>
      <c r="G25" s="8" t="s">
        <v>260</v>
      </c>
    </row>
    <row r="26" spans="1:7">
      <c r="A26" s="8" t="s">
        <v>284</v>
      </c>
      <c r="B26" s="8" t="s">
        <v>119</v>
      </c>
      <c r="C26" t="s">
        <v>235</v>
      </c>
      <c r="D26" s="14">
        <v>46228</v>
      </c>
      <c r="E26" s="8" t="s">
        <v>259</v>
      </c>
      <c r="F26" s="24" t="str">
        <f>Treatments!D26</f>
        <v>Blood Test</v>
      </c>
      <c r="G26" s="8" t="s">
        <v>260</v>
      </c>
    </row>
    <row r="27" spans="1:7">
      <c r="A27" s="8" t="s">
        <v>285</v>
      </c>
      <c r="B27" s="8" t="s">
        <v>122</v>
      </c>
      <c r="C27" t="s">
        <v>238</v>
      </c>
      <c r="D27" s="14">
        <v>46229</v>
      </c>
      <c r="E27" s="25">
        <v>0.416666666666667</v>
      </c>
      <c r="F27" s="24" t="str">
        <f>Treatments!D27</f>
        <v>Surgery</v>
      </c>
      <c r="G27" s="8" t="s">
        <v>260</v>
      </c>
    </row>
    <row r="28" spans="1:7">
      <c r="A28" s="8" t="s">
        <v>286</v>
      </c>
      <c r="B28" s="8" t="s">
        <v>125</v>
      </c>
      <c r="C28" t="s">
        <v>238</v>
      </c>
      <c r="D28" s="14">
        <v>46230</v>
      </c>
      <c r="E28" s="25">
        <v>0.458333333333333</v>
      </c>
      <c r="F28" s="24" t="str">
        <f>Treatments!D28</f>
        <v>Physiotherapy</v>
      </c>
      <c r="G28" s="8" t="s">
        <v>260</v>
      </c>
    </row>
    <row r="29" spans="1:7">
      <c r="A29" s="8" t="s">
        <v>287</v>
      </c>
      <c r="B29" s="8" t="s">
        <v>128</v>
      </c>
      <c r="C29" t="s">
        <v>218</v>
      </c>
      <c r="D29" s="14">
        <v>46231</v>
      </c>
      <c r="E29" s="8" t="s">
        <v>259</v>
      </c>
      <c r="F29" s="24" t="str">
        <f>Treatments!D29</f>
        <v>Vaccination</v>
      </c>
      <c r="G29" s="8" t="s">
        <v>260</v>
      </c>
    </row>
    <row r="30" spans="1:7">
      <c r="A30" s="8" t="s">
        <v>288</v>
      </c>
      <c r="B30" s="8" t="s">
        <v>131</v>
      </c>
      <c r="C30" t="s">
        <v>222</v>
      </c>
      <c r="D30" s="14">
        <v>46204</v>
      </c>
      <c r="E30" s="8" t="s">
        <v>259</v>
      </c>
      <c r="F30" s="24" t="str">
        <f>Treatments!D30</f>
        <v>General Check Up</v>
      </c>
      <c r="G30" s="8" t="s">
        <v>260</v>
      </c>
    </row>
    <row r="31" spans="1:7">
      <c r="A31" s="8" t="s">
        <v>289</v>
      </c>
      <c r="B31" s="8" t="s">
        <v>134</v>
      </c>
      <c r="C31" t="s">
        <v>235</v>
      </c>
      <c r="D31" s="14">
        <v>46205</v>
      </c>
      <c r="E31" s="8" t="s">
        <v>259</v>
      </c>
      <c r="F31" s="24" t="str">
        <f>Treatments!D31</f>
        <v>CT Scan</v>
      </c>
      <c r="G31" s="8" t="s">
        <v>260</v>
      </c>
    </row>
    <row r="32" spans="1:7">
      <c r="A32" s="8" t="s">
        <v>290</v>
      </c>
      <c r="B32" s="8" t="s">
        <v>137</v>
      </c>
      <c r="C32" t="s">
        <v>204</v>
      </c>
      <c r="D32" s="14">
        <v>46206</v>
      </c>
      <c r="E32" s="8" t="s">
        <v>259</v>
      </c>
      <c r="F32" s="24" t="str">
        <f>Treatments!D32</f>
        <v>Laboratory Test</v>
      </c>
      <c r="G32" s="8" t="s">
        <v>260</v>
      </c>
    </row>
    <row r="33" spans="1:7">
      <c r="A33" s="8" t="s">
        <v>291</v>
      </c>
      <c r="B33" s="8" t="s">
        <v>140</v>
      </c>
      <c r="C33" t="s">
        <v>210</v>
      </c>
      <c r="D33" s="14">
        <v>46207</v>
      </c>
      <c r="E33" s="8" t="s">
        <v>259</v>
      </c>
      <c r="F33" s="24" t="str">
        <f>Treatments!D33</f>
        <v>Consultation</v>
      </c>
      <c r="G33" s="8" t="s">
        <v>260</v>
      </c>
    </row>
    <row r="34" spans="1:7">
      <c r="A34" s="8" t="s">
        <v>292</v>
      </c>
      <c r="B34" s="8" t="s">
        <v>143</v>
      </c>
      <c r="C34" t="s">
        <v>214</v>
      </c>
      <c r="D34" s="14">
        <v>46208</v>
      </c>
      <c r="E34" s="8" t="s">
        <v>259</v>
      </c>
      <c r="F34" s="24" t="str">
        <f>Treatments!D34</f>
        <v>Dental Check Up</v>
      </c>
      <c r="G34" s="8" t="s">
        <v>260</v>
      </c>
    </row>
    <row r="35" spans="1:7">
      <c r="A35" s="8" t="s">
        <v>293</v>
      </c>
      <c r="B35" s="8" t="s">
        <v>146</v>
      </c>
      <c r="C35" t="s">
        <v>218</v>
      </c>
      <c r="D35" s="14">
        <v>46209</v>
      </c>
      <c r="E35" s="8" t="s">
        <v>259</v>
      </c>
      <c r="F35" s="24" t="str">
        <f>Treatments!D35</f>
        <v>Blood Test</v>
      </c>
      <c r="G35" s="8" t="s">
        <v>260</v>
      </c>
    </row>
    <row r="36" spans="1:7">
      <c r="A36" s="8" t="s">
        <v>294</v>
      </c>
      <c r="B36" s="8" t="s">
        <v>149</v>
      </c>
      <c r="C36" t="s">
        <v>222</v>
      </c>
      <c r="D36" s="14">
        <v>46210</v>
      </c>
      <c r="E36" s="8" t="s">
        <v>259</v>
      </c>
      <c r="F36" s="24" t="str">
        <f>Treatments!D36</f>
        <v>Surgery</v>
      </c>
      <c r="G36" s="8" t="s">
        <v>260</v>
      </c>
    </row>
    <row r="37" spans="1:7">
      <c r="A37" s="8" t="s">
        <v>295</v>
      </c>
      <c r="B37" s="8" t="s">
        <v>152</v>
      </c>
      <c r="C37" t="s">
        <v>226</v>
      </c>
      <c r="D37" s="14">
        <v>46211</v>
      </c>
      <c r="E37" s="8" t="s">
        <v>259</v>
      </c>
      <c r="F37" s="24" t="str">
        <f>Treatments!D37</f>
        <v>Physiotherapy</v>
      </c>
      <c r="G37" s="8" t="s">
        <v>260</v>
      </c>
    </row>
    <row r="38" spans="1:7">
      <c r="A38" s="8" t="s">
        <v>296</v>
      </c>
      <c r="B38" s="8" t="s">
        <v>155</v>
      </c>
      <c r="C38" t="s">
        <v>229</v>
      </c>
      <c r="D38" s="14">
        <v>46212</v>
      </c>
      <c r="E38" s="8" t="s">
        <v>259</v>
      </c>
      <c r="F38" s="24" t="str">
        <f>Treatments!D38</f>
        <v>Vaccination</v>
      </c>
      <c r="G38" s="8" t="s">
        <v>260</v>
      </c>
    </row>
    <row r="39" spans="1:7">
      <c r="A39" s="8" t="s">
        <v>297</v>
      </c>
      <c r="B39" s="8" t="s">
        <v>158</v>
      </c>
      <c r="C39" t="s">
        <v>232</v>
      </c>
      <c r="D39" s="14">
        <v>46213</v>
      </c>
      <c r="E39" s="8" t="s">
        <v>259</v>
      </c>
      <c r="F39" s="24" t="str">
        <f>Treatments!D39</f>
        <v>MRI Scan</v>
      </c>
      <c r="G39" s="8" t="s">
        <v>260</v>
      </c>
    </row>
    <row r="40" spans="1:7">
      <c r="A40" s="8" t="s">
        <v>298</v>
      </c>
      <c r="B40" s="8" t="s">
        <v>161</v>
      </c>
      <c r="C40" t="s">
        <v>235</v>
      </c>
      <c r="D40" s="14">
        <v>46214</v>
      </c>
      <c r="E40" s="8" t="s">
        <v>259</v>
      </c>
      <c r="F40" s="24" t="str">
        <f>Treatments!D40</f>
        <v>CT Scan</v>
      </c>
      <c r="G40" s="8" t="s">
        <v>260</v>
      </c>
    </row>
    <row r="41" spans="1:7">
      <c r="A41" s="8" t="s">
        <v>299</v>
      </c>
      <c r="B41" s="8" t="s">
        <v>164</v>
      </c>
      <c r="C41" t="s">
        <v>238</v>
      </c>
      <c r="D41" s="14">
        <v>46215</v>
      </c>
      <c r="E41" s="8" t="s">
        <v>259</v>
      </c>
      <c r="F41" s="24" t="str">
        <f>Treatments!D41</f>
        <v>X-ray</v>
      </c>
      <c r="G41" s="8" t="s">
        <v>260</v>
      </c>
    </row>
    <row r="42" spans="1:7">
      <c r="A42" s="8" t="s">
        <v>300</v>
      </c>
      <c r="B42" s="8" t="s">
        <v>167</v>
      </c>
      <c r="C42" t="s">
        <v>214</v>
      </c>
      <c r="D42" s="14">
        <v>46216</v>
      </c>
      <c r="E42" s="8" t="s">
        <v>259</v>
      </c>
      <c r="F42" s="24" t="str">
        <f>Treatments!D42</f>
        <v>Blood Test</v>
      </c>
      <c r="G42" s="8" t="s">
        <v>260</v>
      </c>
    </row>
    <row r="43" spans="1:7">
      <c r="A43" s="8" t="s">
        <v>301</v>
      </c>
      <c r="B43" s="8" t="s">
        <v>170</v>
      </c>
      <c r="C43" t="s">
        <v>214</v>
      </c>
      <c r="D43" s="14">
        <v>46217</v>
      </c>
      <c r="E43" s="8" t="s">
        <v>259</v>
      </c>
      <c r="F43" s="24" t="str">
        <f>Treatments!D43</f>
        <v>Surgery</v>
      </c>
      <c r="G43" s="8" t="s">
        <v>260</v>
      </c>
    </row>
    <row r="44" spans="1:7">
      <c r="A44" s="8" t="s">
        <v>302</v>
      </c>
      <c r="B44" s="8" t="s">
        <v>173</v>
      </c>
      <c r="C44" t="s">
        <v>218</v>
      </c>
      <c r="D44" s="14">
        <v>46218</v>
      </c>
      <c r="E44" s="8" t="s">
        <v>259</v>
      </c>
      <c r="F44" s="24" t="str">
        <f>Treatments!D44</f>
        <v>Consultation</v>
      </c>
      <c r="G44" s="8" t="s">
        <v>260</v>
      </c>
    </row>
    <row r="45" spans="1:7">
      <c r="A45" s="8" t="s">
        <v>303</v>
      </c>
      <c r="B45" s="8" t="s">
        <v>176</v>
      </c>
      <c r="C45" t="s">
        <v>222</v>
      </c>
      <c r="D45" s="14">
        <v>46219</v>
      </c>
      <c r="E45" s="8" t="s">
        <v>259</v>
      </c>
      <c r="F45" s="24" t="str">
        <f>Treatments!D45</f>
        <v>Consultation</v>
      </c>
      <c r="G45" s="8" t="s">
        <v>260</v>
      </c>
    </row>
    <row r="46" spans="1:7">
      <c r="A46" s="8" t="s">
        <v>304</v>
      </c>
      <c r="B46" s="8" t="s">
        <v>179</v>
      </c>
      <c r="C46" t="s">
        <v>235</v>
      </c>
      <c r="D46" s="14">
        <v>46220</v>
      </c>
      <c r="E46" s="8" t="s">
        <v>259</v>
      </c>
      <c r="F46" s="24" t="str">
        <f>Treatments!D46</f>
        <v>Blood Test</v>
      </c>
      <c r="G46" s="8" t="s">
        <v>260</v>
      </c>
    </row>
    <row r="47" spans="1:7">
      <c r="A47" s="8" t="s">
        <v>305</v>
      </c>
      <c r="B47" s="8" t="s">
        <v>182</v>
      </c>
      <c r="C47" t="s">
        <v>238</v>
      </c>
      <c r="D47" s="14">
        <v>46221</v>
      </c>
      <c r="E47" s="8" t="s">
        <v>259</v>
      </c>
      <c r="F47" s="24" t="str">
        <f>Treatments!D47</f>
        <v>Surgery</v>
      </c>
      <c r="G47" s="8" t="s">
        <v>260</v>
      </c>
    </row>
    <row r="48" spans="1:7">
      <c r="A48" s="8" t="s">
        <v>306</v>
      </c>
      <c r="B48" s="8" t="s">
        <v>185</v>
      </c>
      <c r="C48" t="s">
        <v>218</v>
      </c>
      <c r="D48" s="14">
        <v>46222</v>
      </c>
      <c r="E48" s="8" t="s">
        <v>259</v>
      </c>
      <c r="F48" s="24" t="str">
        <f>Treatments!D48</f>
        <v>Physiotherapy</v>
      </c>
      <c r="G48" s="8" t="s">
        <v>260</v>
      </c>
    </row>
    <row r="49" spans="1:7">
      <c r="A49" s="8" t="s">
        <v>307</v>
      </c>
      <c r="B49" s="8" t="s">
        <v>188</v>
      </c>
      <c r="C49" t="s">
        <v>238</v>
      </c>
      <c r="D49" s="14">
        <v>46223</v>
      </c>
      <c r="E49" s="8" t="s">
        <v>259</v>
      </c>
      <c r="F49" s="24" t="str">
        <f>Treatments!D49</f>
        <v>Surgery</v>
      </c>
      <c r="G49" s="8" t="s">
        <v>260</v>
      </c>
    </row>
    <row r="50" spans="1:7">
      <c r="A50" s="8" t="s">
        <v>308</v>
      </c>
      <c r="B50" s="8" t="s">
        <v>191</v>
      </c>
      <c r="C50" t="s">
        <v>218</v>
      </c>
      <c r="D50" s="14">
        <v>46224</v>
      </c>
      <c r="E50" s="8" t="s">
        <v>259</v>
      </c>
      <c r="F50" s="24" t="str">
        <f>Treatments!D50</f>
        <v>Vaccination</v>
      </c>
      <c r="G50" s="8" t="s">
        <v>260</v>
      </c>
    </row>
    <row r="51" spans="1:7">
      <c r="A51" s="8" t="s">
        <v>309</v>
      </c>
      <c r="B51" s="8" t="s">
        <v>194</v>
      </c>
      <c r="C51" t="s">
        <v>222</v>
      </c>
      <c r="D51" s="14">
        <v>46225</v>
      </c>
      <c r="E51" s="8" t="s">
        <v>259</v>
      </c>
      <c r="F51" s="24" t="str">
        <f>Treatments!D51</f>
        <v>Dental Check Up</v>
      </c>
      <c r="G51" s="8" t="s">
        <v>260</v>
      </c>
    </row>
  </sheetData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9.14285714285714" defaultRowHeight="15" outlineLevelCol="2"/>
  <sheetData>
    <row r="3" spans="1:3">
      <c r="A3" s="15"/>
      <c r="B3" s="16"/>
      <c r="C3" s="17"/>
    </row>
    <row r="4" spans="1:3">
      <c r="A4" s="18"/>
      <c r="B4" s="19"/>
      <c r="C4" s="20"/>
    </row>
    <row r="5" spans="1:3">
      <c r="A5" s="18"/>
      <c r="B5" s="19"/>
      <c r="C5" s="20"/>
    </row>
    <row r="6" spans="1:3">
      <c r="A6" s="18"/>
      <c r="B6" s="19"/>
      <c r="C6" s="20"/>
    </row>
    <row r="7" spans="1:3">
      <c r="A7" s="18"/>
      <c r="B7" s="19"/>
      <c r="C7" s="20"/>
    </row>
    <row r="8" spans="1:3">
      <c r="A8" s="18"/>
      <c r="B8" s="19"/>
      <c r="C8" s="20"/>
    </row>
    <row r="9" spans="1:3">
      <c r="A9" s="18"/>
      <c r="B9" s="19"/>
      <c r="C9" s="20"/>
    </row>
    <row r="10" spans="1:3">
      <c r="A10" s="18"/>
      <c r="B10" s="19"/>
      <c r="C10" s="20"/>
    </row>
    <row r="11" spans="1:3">
      <c r="A11" s="18"/>
      <c r="B11" s="19"/>
      <c r="C11" s="20"/>
    </row>
    <row r="12" spans="1:3">
      <c r="A12" s="18"/>
      <c r="B12" s="19"/>
      <c r="C12" s="20"/>
    </row>
    <row r="13" spans="1:3">
      <c r="A13" s="18"/>
      <c r="B13" s="19"/>
      <c r="C13" s="20"/>
    </row>
    <row r="14" spans="1:3">
      <c r="A14" s="18"/>
      <c r="B14" s="19"/>
      <c r="C14" s="20"/>
    </row>
    <row r="15" spans="1:3">
      <c r="A15" s="18"/>
      <c r="B15" s="19"/>
      <c r="C15" s="20"/>
    </row>
    <row r="16" spans="1:3">
      <c r="A16" s="18"/>
      <c r="B16" s="19"/>
      <c r="C16" s="20"/>
    </row>
    <row r="17" spans="1:3">
      <c r="A17" s="18"/>
      <c r="B17" s="19"/>
      <c r="C17" s="20"/>
    </row>
    <row r="18" spans="1:3">
      <c r="A18" s="18"/>
      <c r="B18" s="19"/>
      <c r="C18" s="20"/>
    </row>
    <row r="19" spans="1:3">
      <c r="A19" s="18"/>
      <c r="B19" s="19"/>
      <c r="C19" s="20"/>
    </row>
    <row r="20" spans="1:3">
      <c r="A20" s="21"/>
      <c r="B20" s="22"/>
      <c r="C20" s="23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pane ySplit="1" topLeftCell="A33" activePane="bottomLeft" state="frozen"/>
      <selection/>
      <selection pane="bottomLeft" activeCell="J12" sqref="J12"/>
    </sheetView>
  </sheetViews>
  <sheetFormatPr defaultColWidth="9" defaultRowHeight="15" outlineLevelCol="7"/>
  <cols>
    <col min="1" max="1" width="17.4285714285714" customWidth="1"/>
    <col min="2" max="2" width="17.8571428571429" customWidth="1"/>
    <col min="3" max="3" width="12.1428571428571" customWidth="1"/>
    <col min="4" max="4" width="9.85714285714286" customWidth="1"/>
    <col min="5" max="5" width="17.4285714285714" customWidth="1"/>
    <col min="6" max="6" width="15.7142857142857" customWidth="1"/>
    <col min="7" max="7" width="11.5714285714286" customWidth="1"/>
    <col min="8" max="8" width="16.7142857142857" customWidth="1"/>
  </cols>
  <sheetData>
    <row r="1" spans="1:8">
      <c r="A1" s="8" t="s">
        <v>310</v>
      </c>
      <c r="B1" s="8" t="s">
        <v>253</v>
      </c>
      <c r="C1" s="8" t="s">
        <v>311</v>
      </c>
      <c r="D1" s="8" t="s">
        <v>312</v>
      </c>
      <c r="E1" s="8" t="s">
        <v>313</v>
      </c>
      <c r="F1" s="8" t="s">
        <v>314</v>
      </c>
      <c r="G1" s="8" t="s">
        <v>315</v>
      </c>
      <c r="H1" s="8" t="s">
        <v>316</v>
      </c>
    </row>
    <row r="2" spans="1:8">
      <c r="A2" s="8" t="s">
        <v>317</v>
      </c>
      <c r="B2" s="8" t="s">
        <v>23</v>
      </c>
      <c r="C2" s="8" t="s">
        <v>318</v>
      </c>
      <c r="D2" s="8">
        <v>1</v>
      </c>
      <c r="E2" s="14">
        <v>46204</v>
      </c>
      <c r="F2" s="14">
        <v>46207</v>
      </c>
      <c r="G2" s="8">
        <f t="shared" ref="G2:G51" si="0">F2-E2</f>
        <v>3</v>
      </c>
      <c r="H2" s="8" t="s">
        <v>316</v>
      </c>
    </row>
    <row r="3" spans="1:8">
      <c r="A3" s="8" t="s">
        <v>319</v>
      </c>
      <c r="B3" s="8" t="s">
        <v>31</v>
      </c>
      <c r="C3" s="8" t="s">
        <v>318</v>
      </c>
      <c r="D3" s="8">
        <v>2</v>
      </c>
      <c r="E3" s="14">
        <v>46205</v>
      </c>
      <c r="F3" s="14">
        <v>46208</v>
      </c>
      <c r="G3" s="8">
        <f t="shared" si="0"/>
        <v>3</v>
      </c>
      <c r="H3" s="8" t="s">
        <v>316</v>
      </c>
    </row>
    <row r="4" spans="1:8">
      <c r="A4" s="8" t="s">
        <v>320</v>
      </c>
      <c r="B4" s="8" t="s">
        <v>37</v>
      </c>
      <c r="C4" s="8" t="s">
        <v>318</v>
      </c>
      <c r="D4" s="8">
        <v>3</v>
      </c>
      <c r="E4" s="14">
        <v>46206</v>
      </c>
      <c r="F4" s="14">
        <v>46209</v>
      </c>
      <c r="G4" s="8">
        <f t="shared" si="0"/>
        <v>3</v>
      </c>
      <c r="H4" s="8" t="s">
        <v>316</v>
      </c>
    </row>
    <row r="5" spans="1:8">
      <c r="A5" s="8" t="s">
        <v>321</v>
      </c>
      <c r="B5" s="8" t="s">
        <v>42</v>
      </c>
      <c r="C5" s="8" t="s">
        <v>318</v>
      </c>
      <c r="D5" s="8">
        <v>4</v>
      </c>
      <c r="E5" s="14">
        <v>46207</v>
      </c>
      <c r="F5" s="14">
        <v>46210</v>
      </c>
      <c r="G5" s="8">
        <f t="shared" si="0"/>
        <v>3</v>
      </c>
      <c r="H5" s="8" t="s">
        <v>316</v>
      </c>
    </row>
    <row r="6" spans="1:8">
      <c r="A6" s="8" t="s">
        <v>322</v>
      </c>
      <c r="B6" s="8" t="s">
        <v>47</v>
      </c>
      <c r="C6" s="8" t="s">
        <v>323</v>
      </c>
      <c r="D6" s="8">
        <v>5</v>
      </c>
      <c r="E6" s="14">
        <v>46208</v>
      </c>
      <c r="F6" s="14">
        <v>46211</v>
      </c>
      <c r="G6" s="8">
        <f t="shared" si="0"/>
        <v>3</v>
      </c>
      <c r="H6" s="8" t="s">
        <v>316</v>
      </c>
    </row>
    <row r="7" spans="1:8">
      <c r="A7" s="8" t="s">
        <v>324</v>
      </c>
      <c r="B7" s="8" t="s">
        <v>52</v>
      </c>
      <c r="C7" s="8" t="s">
        <v>323</v>
      </c>
      <c r="D7" s="8">
        <v>6</v>
      </c>
      <c r="E7" s="14">
        <v>46209</v>
      </c>
      <c r="F7" s="14">
        <v>46212</v>
      </c>
      <c r="G7" s="8">
        <f t="shared" si="0"/>
        <v>3</v>
      </c>
      <c r="H7" s="8" t="s">
        <v>316</v>
      </c>
    </row>
    <row r="8" spans="1:8">
      <c r="A8" s="8" t="s">
        <v>325</v>
      </c>
      <c r="B8" s="8" t="s">
        <v>57</v>
      </c>
      <c r="C8" s="8" t="s">
        <v>323</v>
      </c>
      <c r="D8" s="8">
        <v>7</v>
      </c>
      <c r="E8" s="14">
        <v>46210</v>
      </c>
      <c r="F8" s="14">
        <v>46213</v>
      </c>
      <c r="G8" s="8">
        <f t="shared" si="0"/>
        <v>3</v>
      </c>
      <c r="H8" s="8" t="s">
        <v>316</v>
      </c>
    </row>
    <row r="9" spans="1:8">
      <c r="A9" s="8" t="s">
        <v>326</v>
      </c>
      <c r="B9" s="8" t="s">
        <v>62</v>
      </c>
      <c r="C9" s="8" t="s">
        <v>323</v>
      </c>
      <c r="D9" s="8">
        <v>8</v>
      </c>
      <c r="E9" s="14">
        <v>46211</v>
      </c>
      <c r="F9" s="14">
        <v>46214</v>
      </c>
      <c r="G9" s="8">
        <f t="shared" si="0"/>
        <v>3</v>
      </c>
      <c r="H9" s="8" t="s">
        <v>316</v>
      </c>
    </row>
    <row r="10" spans="1:8">
      <c r="A10" s="8" t="s">
        <v>327</v>
      </c>
      <c r="B10" s="8" t="s">
        <v>67</v>
      </c>
      <c r="C10" s="8" t="s">
        <v>323</v>
      </c>
      <c r="D10" s="8">
        <v>9</v>
      </c>
      <c r="E10" s="14">
        <v>46212</v>
      </c>
      <c r="F10" s="14">
        <v>46215</v>
      </c>
      <c r="G10" s="8">
        <f t="shared" si="0"/>
        <v>3</v>
      </c>
      <c r="H10" s="8" t="s">
        <v>316</v>
      </c>
    </row>
    <row r="11" spans="1:8">
      <c r="A11" s="8" t="s">
        <v>328</v>
      </c>
      <c r="B11" s="8" t="s">
        <v>72</v>
      </c>
      <c r="C11" s="8" t="s">
        <v>323</v>
      </c>
      <c r="D11" s="8">
        <v>10</v>
      </c>
      <c r="E11" s="14">
        <v>46213</v>
      </c>
      <c r="F11" s="14">
        <v>46216</v>
      </c>
      <c r="G11" s="8">
        <f t="shared" si="0"/>
        <v>3</v>
      </c>
      <c r="H11" s="8" t="s">
        <v>316</v>
      </c>
    </row>
    <row r="12" spans="1:8">
      <c r="A12" s="8" t="s">
        <v>329</v>
      </c>
      <c r="B12" s="8" t="s">
        <v>77</v>
      </c>
      <c r="C12" s="8" t="s">
        <v>323</v>
      </c>
      <c r="D12" s="8">
        <v>11</v>
      </c>
      <c r="E12" s="14">
        <v>46214</v>
      </c>
      <c r="F12" s="14">
        <v>46217</v>
      </c>
      <c r="G12" s="8">
        <f t="shared" si="0"/>
        <v>3</v>
      </c>
      <c r="H12" s="8" t="s">
        <v>316</v>
      </c>
    </row>
    <row r="13" spans="1:8">
      <c r="A13" s="8" t="s">
        <v>330</v>
      </c>
      <c r="B13" s="8" t="s">
        <v>80</v>
      </c>
      <c r="C13" s="8" t="s">
        <v>323</v>
      </c>
      <c r="D13" s="8">
        <v>12</v>
      </c>
      <c r="E13" s="14">
        <v>46215</v>
      </c>
      <c r="F13" s="14">
        <v>46218</v>
      </c>
      <c r="G13" s="8">
        <f t="shared" si="0"/>
        <v>3</v>
      </c>
      <c r="H13" s="8" t="s">
        <v>316</v>
      </c>
    </row>
    <row r="14" spans="1:8">
      <c r="A14" s="8" t="s">
        <v>331</v>
      </c>
      <c r="B14" s="8" t="s">
        <v>83</v>
      </c>
      <c r="C14" s="8" t="s">
        <v>323</v>
      </c>
      <c r="D14" s="8">
        <v>13</v>
      </c>
      <c r="E14" s="14">
        <v>46216</v>
      </c>
      <c r="F14" s="14">
        <v>46219</v>
      </c>
      <c r="G14" s="8">
        <f t="shared" si="0"/>
        <v>3</v>
      </c>
      <c r="H14" s="8" t="s">
        <v>316</v>
      </c>
    </row>
    <row r="15" spans="1:8">
      <c r="A15" s="8" t="s">
        <v>332</v>
      </c>
      <c r="B15" s="8" t="s">
        <v>86</v>
      </c>
      <c r="C15" s="8" t="s">
        <v>323</v>
      </c>
      <c r="D15" s="8">
        <v>14</v>
      </c>
      <c r="E15" s="14">
        <v>46217</v>
      </c>
      <c r="F15" s="14">
        <v>46220</v>
      </c>
      <c r="G15" s="8">
        <f t="shared" si="0"/>
        <v>3</v>
      </c>
      <c r="H15" s="8" t="s">
        <v>316</v>
      </c>
    </row>
    <row r="16" spans="1:8">
      <c r="A16" s="8" t="s">
        <v>333</v>
      </c>
      <c r="B16" s="8" t="s">
        <v>89</v>
      </c>
      <c r="C16" s="8" t="s">
        <v>323</v>
      </c>
      <c r="D16" s="8">
        <v>15</v>
      </c>
      <c r="E16" s="14">
        <v>46218</v>
      </c>
      <c r="F16" s="14">
        <v>46221</v>
      </c>
      <c r="G16" s="8">
        <f t="shared" si="0"/>
        <v>3</v>
      </c>
      <c r="H16" s="8" t="s">
        <v>316</v>
      </c>
    </row>
    <row r="17" spans="1:8">
      <c r="A17" s="8" t="s">
        <v>334</v>
      </c>
      <c r="B17" s="8" t="s">
        <v>92</v>
      </c>
      <c r="C17" s="8" t="s">
        <v>323</v>
      </c>
      <c r="D17" s="8">
        <v>16</v>
      </c>
      <c r="E17" s="14">
        <v>46219</v>
      </c>
      <c r="F17" s="14">
        <v>46222</v>
      </c>
      <c r="G17" s="8">
        <f t="shared" si="0"/>
        <v>3</v>
      </c>
      <c r="H17" s="8" t="s">
        <v>316</v>
      </c>
    </row>
    <row r="18" spans="1:8">
      <c r="A18" s="8" t="s">
        <v>335</v>
      </c>
      <c r="B18" s="8" t="s">
        <v>95</v>
      </c>
      <c r="C18" s="8" t="s">
        <v>323</v>
      </c>
      <c r="D18" s="8">
        <v>17</v>
      </c>
      <c r="E18" s="14">
        <v>46220</v>
      </c>
      <c r="F18" s="14">
        <v>46223</v>
      </c>
      <c r="G18" s="8">
        <f t="shared" si="0"/>
        <v>3</v>
      </c>
      <c r="H18" s="8" t="s">
        <v>316</v>
      </c>
    </row>
    <row r="19" spans="1:8">
      <c r="A19" s="8" t="s">
        <v>336</v>
      </c>
      <c r="B19" s="8" t="s">
        <v>98</v>
      </c>
      <c r="C19" s="8" t="s">
        <v>323</v>
      </c>
      <c r="D19" s="8">
        <v>18</v>
      </c>
      <c r="E19" s="14">
        <v>46221</v>
      </c>
      <c r="F19" s="14">
        <v>46224</v>
      </c>
      <c r="G19" s="8">
        <f t="shared" si="0"/>
        <v>3</v>
      </c>
      <c r="H19" s="8" t="s">
        <v>316</v>
      </c>
    </row>
    <row r="20" spans="1:8">
      <c r="A20" s="8" t="s">
        <v>337</v>
      </c>
      <c r="B20" s="8" t="s">
        <v>101</v>
      </c>
      <c r="C20" s="8" t="s">
        <v>338</v>
      </c>
      <c r="D20" s="8">
        <v>19</v>
      </c>
      <c r="E20" s="14">
        <v>46222</v>
      </c>
      <c r="F20" s="14">
        <v>46225</v>
      </c>
      <c r="G20" s="8">
        <f t="shared" si="0"/>
        <v>3</v>
      </c>
      <c r="H20" s="8" t="s">
        <v>316</v>
      </c>
    </row>
    <row r="21" spans="1:8">
      <c r="A21" s="8" t="s">
        <v>339</v>
      </c>
      <c r="B21" s="8" t="s">
        <v>104</v>
      </c>
      <c r="C21" s="8" t="s">
        <v>338</v>
      </c>
      <c r="D21" s="8">
        <v>20</v>
      </c>
      <c r="E21" s="14">
        <v>46223</v>
      </c>
      <c r="F21" s="14">
        <v>46226</v>
      </c>
      <c r="G21" s="8">
        <f t="shared" si="0"/>
        <v>3</v>
      </c>
      <c r="H21" s="8" t="s">
        <v>316</v>
      </c>
    </row>
    <row r="22" spans="1:8">
      <c r="A22" s="8" t="s">
        <v>340</v>
      </c>
      <c r="B22" s="8" t="s">
        <v>107</v>
      </c>
      <c r="C22" s="8" t="s">
        <v>338</v>
      </c>
      <c r="D22" s="8">
        <v>21</v>
      </c>
      <c r="E22" s="14">
        <v>46224</v>
      </c>
      <c r="F22" s="14">
        <v>46227</v>
      </c>
      <c r="G22" s="8">
        <f t="shared" si="0"/>
        <v>3</v>
      </c>
      <c r="H22" s="8" t="s">
        <v>316</v>
      </c>
    </row>
    <row r="23" spans="1:8">
      <c r="A23" s="8" t="s">
        <v>341</v>
      </c>
      <c r="B23" s="8" t="s">
        <v>110</v>
      </c>
      <c r="C23" s="8" t="s">
        <v>338</v>
      </c>
      <c r="D23" s="8">
        <v>22</v>
      </c>
      <c r="E23" s="14">
        <v>46225</v>
      </c>
      <c r="F23" s="14">
        <v>46228</v>
      </c>
      <c r="G23" s="8">
        <f t="shared" si="0"/>
        <v>3</v>
      </c>
      <c r="H23" s="8" t="s">
        <v>316</v>
      </c>
    </row>
    <row r="24" spans="1:8">
      <c r="A24" s="8" t="s">
        <v>342</v>
      </c>
      <c r="B24" s="8" t="s">
        <v>113</v>
      </c>
      <c r="C24" s="8" t="s">
        <v>338</v>
      </c>
      <c r="D24" s="8">
        <v>23</v>
      </c>
      <c r="E24" s="14">
        <v>46226</v>
      </c>
      <c r="F24" s="14">
        <v>46229</v>
      </c>
      <c r="G24" s="8">
        <f t="shared" si="0"/>
        <v>3</v>
      </c>
      <c r="H24" s="8" t="s">
        <v>316</v>
      </c>
    </row>
    <row r="25" spans="1:8">
      <c r="A25" s="8" t="s">
        <v>343</v>
      </c>
      <c r="B25" s="8" t="s">
        <v>116</v>
      </c>
      <c r="C25" s="8" t="s">
        <v>338</v>
      </c>
      <c r="D25" s="8">
        <v>24</v>
      </c>
      <c r="E25" s="14">
        <v>46227</v>
      </c>
      <c r="F25" s="14">
        <v>46230</v>
      </c>
      <c r="G25" s="8">
        <f t="shared" si="0"/>
        <v>3</v>
      </c>
      <c r="H25" s="8" t="s">
        <v>316</v>
      </c>
    </row>
    <row r="26" spans="1:8">
      <c r="A26" s="8" t="s">
        <v>344</v>
      </c>
      <c r="B26" s="8" t="s">
        <v>119</v>
      </c>
      <c r="C26" s="8" t="s">
        <v>338</v>
      </c>
      <c r="D26" s="8">
        <v>25</v>
      </c>
      <c r="E26" s="14">
        <v>46228</v>
      </c>
      <c r="F26" s="14">
        <v>46231</v>
      </c>
      <c r="G26" s="8">
        <f t="shared" si="0"/>
        <v>3</v>
      </c>
      <c r="H26" s="8" t="s">
        <v>316</v>
      </c>
    </row>
    <row r="27" spans="1:8">
      <c r="A27" s="8" t="s">
        <v>345</v>
      </c>
      <c r="B27" s="8" t="s">
        <v>122</v>
      </c>
      <c r="C27" s="8" t="s">
        <v>338</v>
      </c>
      <c r="D27" s="8">
        <v>26</v>
      </c>
      <c r="E27" s="14">
        <v>46229</v>
      </c>
      <c r="F27" s="14">
        <v>46232</v>
      </c>
      <c r="G27" s="8">
        <f t="shared" si="0"/>
        <v>3</v>
      </c>
      <c r="H27" s="8" t="s">
        <v>316</v>
      </c>
    </row>
    <row r="28" spans="1:8">
      <c r="A28" s="8" t="s">
        <v>346</v>
      </c>
      <c r="B28" s="8" t="s">
        <v>125</v>
      </c>
      <c r="C28" s="8" t="s">
        <v>338</v>
      </c>
      <c r="D28" s="8">
        <v>27</v>
      </c>
      <c r="E28" s="14">
        <v>46230</v>
      </c>
      <c r="F28" s="14">
        <v>46233</v>
      </c>
      <c r="G28" s="8">
        <f t="shared" si="0"/>
        <v>3</v>
      </c>
      <c r="H28" s="8" t="s">
        <v>316</v>
      </c>
    </row>
    <row r="29" spans="1:8">
      <c r="A29" s="8" t="s">
        <v>347</v>
      </c>
      <c r="B29" s="8" t="s">
        <v>128</v>
      </c>
      <c r="C29" s="8" t="s">
        <v>348</v>
      </c>
      <c r="D29" s="8">
        <v>28</v>
      </c>
      <c r="E29" s="14">
        <v>46231</v>
      </c>
      <c r="F29" s="14">
        <v>46234</v>
      </c>
      <c r="G29" s="8">
        <f t="shared" si="0"/>
        <v>3</v>
      </c>
      <c r="H29" s="8" t="s">
        <v>316</v>
      </c>
    </row>
    <row r="30" spans="1:8">
      <c r="A30" s="8" t="s">
        <v>349</v>
      </c>
      <c r="B30" s="8" t="s">
        <v>131</v>
      </c>
      <c r="C30" s="8" t="s">
        <v>348</v>
      </c>
      <c r="D30" s="8">
        <v>29</v>
      </c>
      <c r="E30" s="14">
        <v>46204</v>
      </c>
      <c r="F30" s="14">
        <v>46207</v>
      </c>
      <c r="G30" s="8">
        <f t="shared" si="0"/>
        <v>3</v>
      </c>
      <c r="H30" s="8" t="s">
        <v>316</v>
      </c>
    </row>
    <row r="31" spans="1:8">
      <c r="A31" s="8" t="s">
        <v>350</v>
      </c>
      <c r="B31" s="8" t="s">
        <v>134</v>
      </c>
      <c r="C31" s="8" t="s">
        <v>348</v>
      </c>
      <c r="D31" s="8">
        <v>30</v>
      </c>
      <c r="E31" s="14">
        <v>46205</v>
      </c>
      <c r="F31" s="14">
        <v>46208</v>
      </c>
      <c r="G31" s="8">
        <f t="shared" si="0"/>
        <v>3</v>
      </c>
      <c r="H31" s="8" t="s">
        <v>316</v>
      </c>
    </row>
    <row r="32" spans="1:8">
      <c r="A32" s="8" t="s">
        <v>351</v>
      </c>
      <c r="B32" s="8" t="s">
        <v>137</v>
      </c>
      <c r="C32" s="8" t="s">
        <v>348</v>
      </c>
      <c r="D32" s="8">
        <v>31</v>
      </c>
      <c r="E32" s="14">
        <v>46206</v>
      </c>
      <c r="F32" s="14">
        <v>46209</v>
      </c>
      <c r="G32" s="8">
        <f t="shared" si="0"/>
        <v>3</v>
      </c>
      <c r="H32" s="8" t="s">
        <v>316</v>
      </c>
    </row>
    <row r="33" spans="1:8">
      <c r="A33" s="8" t="s">
        <v>352</v>
      </c>
      <c r="B33" s="8" t="s">
        <v>140</v>
      </c>
      <c r="C33" s="8" t="s">
        <v>348</v>
      </c>
      <c r="D33" s="8">
        <v>32</v>
      </c>
      <c r="E33" s="14">
        <v>46207</v>
      </c>
      <c r="F33" s="14">
        <v>46210</v>
      </c>
      <c r="G33" s="8">
        <f t="shared" si="0"/>
        <v>3</v>
      </c>
      <c r="H33" s="8" t="s">
        <v>316</v>
      </c>
    </row>
    <row r="34" spans="1:8">
      <c r="A34" s="8" t="s">
        <v>353</v>
      </c>
      <c r="B34" s="8" t="s">
        <v>143</v>
      </c>
      <c r="C34" s="8" t="s">
        <v>348</v>
      </c>
      <c r="D34" s="8">
        <v>33</v>
      </c>
      <c r="E34" s="14">
        <v>46208</v>
      </c>
      <c r="F34" s="14">
        <v>46211</v>
      </c>
      <c r="G34" s="8">
        <f t="shared" si="0"/>
        <v>3</v>
      </c>
      <c r="H34" s="8" t="s">
        <v>316</v>
      </c>
    </row>
    <row r="35" spans="1:8">
      <c r="A35" s="8" t="s">
        <v>354</v>
      </c>
      <c r="B35" s="8" t="s">
        <v>146</v>
      </c>
      <c r="C35" s="8" t="s">
        <v>348</v>
      </c>
      <c r="D35" s="8">
        <v>34</v>
      </c>
      <c r="E35" s="14">
        <v>46209</v>
      </c>
      <c r="F35" s="14">
        <v>46212</v>
      </c>
      <c r="G35" s="8">
        <f t="shared" si="0"/>
        <v>3</v>
      </c>
      <c r="H35" s="8" t="s">
        <v>316</v>
      </c>
    </row>
    <row r="36" spans="1:8">
      <c r="A36" s="8" t="s">
        <v>355</v>
      </c>
      <c r="B36" s="8" t="s">
        <v>149</v>
      </c>
      <c r="C36" s="8" t="s">
        <v>348</v>
      </c>
      <c r="D36" s="8">
        <v>35</v>
      </c>
      <c r="E36" s="14">
        <v>46210</v>
      </c>
      <c r="F36" s="14">
        <v>46213</v>
      </c>
      <c r="G36" s="8">
        <f t="shared" si="0"/>
        <v>3</v>
      </c>
      <c r="H36" s="8" t="s">
        <v>316</v>
      </c>
    </row>
    <row r="37" spans="1:8">
      <c r="A37" s="8" t="s">
        <v>356</v>
      </c>
      <c r="B37" s="8" t="s">
        <v>152</v>
      </c>
      <c r="C37" s="8" t="s">
        <v>348</v>
      </c>
      <c r="D37" s="8">
        <v>36</v>
      </c>
      <c r="E37" s="14">
        <v>46211</v>
      </c>
      <c r="F37" s="14">
        <v>46214</v>
      </c>
      <c r="G37" s="8">
        <f t="shared" si="0"/>
        <v>3</v>
      </c>
      <c r="H37" s="8" t="s">
        <v>316</v>
      </c>
    </row>
    <row r="38" spans="1:8">
      <c r="A38" s="8" t="s">
        <v>357</v>
      </c>
      <c r="B38" s="8" t="s">
        <v>155</v>
      </c>
      <c r="C38" s="8" t="s">
        <v>348</v>
      </c>
      <c r="D38" s="8">
        <v>37</v>
      </c>
      <c r="E38" s="14">
        <v>46212</v>
      </c>
      <c r="F38" s="14">
        <v>46215</v>
      </c>
      <c r="G38" s="8">
        <f t="shared" si="0"/>
        <v>3</v>
      </c>
      <c r="H38" s="8" t="s">
        <v>316</v>
      </c>
    </row>
    <row r="39" spans="1:8">
      <c r="A39" s="8" t="s">
        <v>358</v>
      </c>
      <c r="B39" s="8" t="s">
        <v>158</v>
      </c>
      <c r="C39" s="8" t="s">
        <v>348</v>
      </c>
      <c r="D39" s="8">
        <v>38</v>
      </c>
      <c r="E39" s="14">
        <v>46213</v>
      </c>
      <c r="F39" s="14">
        <v>46216</v>
      </c>
      <c r="G39" s="8">
        <f t="shared" si="0"/>
        <v>3</v>
      </c>
      <c r="H39" s="8" t="s">
        <v>316</v>
      </c>
    </row>
    <row r="40" spans="1:8">
      <c r="A40" s="8" t="s">
        <v>359</v>
      </c>
      <c r="B40" s="8" t="s">
        <v>161</v>
      </c>
      <c r="C40" s="8" t="s">
        <v>360</v>
      </c>
      <c r="D40" s="8">
        <v>39</v>
      </c>
      <c r="E40" s="14">
        <v>46214</v>
      </c>
      <c r="F40" s="14">
        <v>46217</v>
      </c>
      <c r="G40" s="8">
        <f t="shared" si="0"/>
        <v>3</v>
      </c>
      <c r="H40" s="8" t="s">
        <v>316</v>
      </c>
    </row>
    <row r="41" spans="1:8">
      <c r="A41" s="8" t="s">
        <v>361</v>
      </c>
      <c r="B41" s="8" t="s">
        <v>164</v>
      </c>
      <c r="C41" s="8" t="s">
        <v>360</v>
      </c>
      <c r="D41" s="8">
        <v>40</v>
      </c>
      <c r="E41" s="14">
        <v>46215</v>
      </c>
      <c r="F41" s="14">
        <v>46218</v>
      </c>
      <c r="G41" s="8">
        <f t="shared" si="0"/>
        <v>3</v>
      </c>
      <c r="H41" s="8" t="s">
        <v>316</v>
      </c>
    </row>
    <row r="42" spans="1:8">
      <c r="A42" s="8" t="s">
        <v>362</v>
      </c>
      <c r="B42" s="8" t="s">
        <v>167</v>
      </c>
      <c r="C42" s="8" t="s">
        <v>360</v>
      </c>
      <c r="D42" s="8">
        <v>41</v>
      </c>
      <c r="E42" s="14">
        <v>46216</v>
      </c>
      <c r="F42" s="14">
        <v>46219</v>
      </c>
      <c r="G42" s="8">
        <f t="shared" si="0"/>
        <v>3</v>
      </c>
      <c r="H42" s="8" t="s">
        <v>316</v>
      </c>
    </row>
    <row r="43" spans="1:8">
      <c r="A43" s="8" t="s">
        <v>363</v>
      </c>
      <c r="B43" s="8" t="s">
        <v>170</v>
      </c>
      <c r="C43" s="8" t="s">
        <v>360</v>
      </c>
      <c r="D43" s="8">
        <v>42</v>
      </c>
      <c r="E43" s="14">
        <v>46217</v>
      </c>
      <c r="F43" s="14">
        <v>46220</v>
      </c>
      <c r="G43" s="8">
        <f t="shared" si="0"/>
        <v>3</v>
      </c>
      <c r="H43" s="8" t="s">
        <v>316</v>
      </c>
    </row>
    <row r="44" spans="1:8">
      <c r="A44" s="8" t="s">
        <v>364</v>
      </c>
      <c r="B44" s="8" t="s">
        <v>173</v>
      </c>
      <c r="C44" s="8" t="s">
        <v>360</v>
      </c>
      <c r="D44" s="8">
        <v>43</v>
      </c>
      <c r="E44" s="14">
        <v>46218</v>
      </c>
      <c r="F44" s="14">
        <v>46221</v>
      </c>
      <c r="G44" s="8">
        <f t="shared" si="0"/>
        <v>3</v>
      </c>
      <c r="H44" s="8" t="s">
        <v>316</v>
      </c>
    </row>
    <row r="45" spans="1:8">
      <c r="A45" s="8" t="s">
        <v>365</v>
      </c>
      <c r="B45" s="8" t="s">
        <v>176</v>
      </c>
      <c r="C45" s="8" t="s">
        <v>360</v>
      </c>
      <c r="D45" s="8">
        <v>44</v>
      </c>
      <c r="E45" s="14">
        <v>46219</v>
      </c>
      <c r="F45" s="14">
        <v>46222</v>
      </c>
      <c r="G45" s="8">
        <f t="shared" si="0"/>
        <v>3</v>
      </c>
      <c r="H45" s="8" t="s">
        <v>316</v>
      </c>
    </row>
    <row r="46" spans="1:8">
      <c r="A46" s="8" t="s">
        <v>366</v>
      </c>
      <c r="B46" s="8" t="s">
        <v>179</v>
      </c>
      <c r="C46" s="8" t="s">
        <v>360</v>
      </c>
      <c r="D46" s="8">
        <v>45</v>
      </c>
      <c r="E46" s="14">
        <v>46220</v>
      </c>
      <c r="F46" s="14">
        <v>46223</v>
      </c>
      <c r="G46" s="8">
        <f t="shared" si="0"/>
        <v>3</v>
      </c>
      <c r="H46" s="8" t="s">
        <v>316</v>
      </c>
    </row>
    <row r="47" spans="1:8">
      <c r="A47" s="8" t="s">
        <v>367</v>
      </c>
      <c r="B47" s="8" t="s">
        <v>182</v>
      </c>
      <c r="C47" s="8" t="s">
        <v>360</v>
      </c>
      <c r="D47" s="8">
        <v>46</v>
      </c>
      <c r="E47" s="14">
        <v>46221</v>
      </c>
      <c r="F47" s="14">
        <v>46224</v>
      </c>
      <c r="G47" s="8">
        <f t="shared" si="0"/>
        <v>3</v>
      </c>
      <c r="H47" s="8" t="s">
        <v>316</v>
      </c>
    </row>
    <row r="48" spans="1:8">
      <c r="A48" s="8" t="s">
        <v>368</v>
      </c>
      <c r="B48" s="8" t="s">
        <v>185</v>
      </c>
      <c r="C48" s="8" t="s">
        <v>360</v>
      </c>
      <c r="D48" s="8">
        <v>47</v>
      </c>
      <c r="E48" s="14">
        <v>46222</v>
      </c>
      <c r="F48" s="14">
        <v>46225</v>
      </c>
      <c r="G48" s="8">
        <f t="shared" si="0"/>
        <v>3</v>
      </c>
      <c r="H48" s="8" t="s">
        <v>316</v>
      </c>
    </row>
    <row r="49" spans="1:8">
      <c r="A49" s="8" t="s">
        <v>369</v>
      </c>
      <c r="B49" s="8" t="s">
        <v>188</v>
      </c>
      <c r="C49" s="8" t="s">
        <v>360</v>
      </c>
      <c r="D49" s="8">
        <v>48</v>
      </c>
      <c r="E49" s="14">
        <v>46223</v>
      </c>
      <c r="F49" s="14">
        <v>46226</v>
      </c>
      <c r="G49" s="8">
        <f t="shared" si="0"/>
        <v>3</v>
      </c>
      <c r="H49" s="8" t="s">
        <v>316</v>
      </c>
    </row>
    <row r="50" spans="1:8">
      <c r="A50" s="8" t="s">
        <v>370</v>
      </c>
      <c r="B50" s="8" t="s">
        <v>191</v>
      </c>
      <c r="C50" s="8" t="s">
        <v>360</v>
      </c>
      <c r="D50" s="8">
        <v>49</v>
      </c>
      <c r="E50" s="14">
        <v>46224</v>
      </c>
      <c r="F50" s="14">
        <v>46227</v>
      </c>
      <c r="G50" s="8">
        <f t="shared" si="0"/>
        <v>3</v>
      </c>
      <c r="H50" s="8" t="s">
        <v>316</v>
      </c>
    </row>
    <row r="51" spans="1:8">
      <c r="A51" s="8" t="s">
        <v>371</v>
      </c>
      <c r="B51" s="8" t="s">
        <v>194</v>
      </c>
      <c r="C51" s="8" t="s">
        <v>360</v>
      </c>
      <c r="D51" s="8">
        <v>50</v>
      </c>
      <c r="E51" s="14">
        <v>46225</v>
      </c>
      <c r="F51" s="14">
        <v>46228</v>
      </c>
      <c r="G51" s="8">
        <f t="shared" si="0"/>
        <v>3</v>
      </c>
      <c r="H51" s="8" t="s">
        <v>316</v>
      </c>
    </row>
  </sheetData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0"/>
  <sheetViews>
    <sheetView workbookViewId="0">
      <selection activeCell="M11" sqref="M11"/>
    </sheetView>
  </sheetViews>
  <sheetFormatPr defaultColWidth="9.14285714285714" defaultRowHeight="15" outlineLevelCol="1"/>
  <cols>
    <col min="1" max="1" width="18"/>
    <col min="2" max="2" width="12.2857142857143"/>
  </cols>
  <sheetData>
    <row r="3" spans="1:2">
      <c r="A3" t="s">
        <v>372</v>
      </c>
      <c r="B3" t="s">
        <v>373</v>
      </c>
    </row>
    <row r="4" spans="1:2">
      <c r="A4" t="s">
        <v>374</v>
      </c>
      <c r="B4">
        <v>600</v>
      </c>
    </row>
    <row r="5" spans="1:2">
      <c r="A5" t="s">
        <v>375</v>
      </c>
      <c r="B5">
        <v>2090</v>
      </c>
    </row>
    <row r="6" spans="1:2">
      <c r="A6" t="s">
        <v>376</v>
      </c>
      <c r="B6">
        <v>1119</v>
      </c>
    </row>
    <row r="7" spans="1:2">
      <c r="A7" t="s">
        <v>377</v>
      </c>
      <c r="B7">
        <v>3210</v>
      </c>
    </row>
    <row r="8" spans="1:2">
      <c r="A8" t="s">
        <v>378</v>
      </c>
      <c r="B8">
        <v>1120</v>
      </c>
    </row>
    <row r="9" spans="1:2">
      <c r="A9" t="s">
        <v>379</v>
      </c>
      <c r="B9">
        <v>700</v>
      </c>
    </row>
    <row r="10" spans="1:2">
      <c r="A10" t="s">
        <v>380</v>
      </c>
      <c r="B10">
        <v>200</v>
      </c>
    </row>
    <row r="11" spans="1:2">
      <c r="A11" t="s">
        <v>381</v>
      </c>
      <c r="B11">
        <v>1000</v>
      </c>
    </row>
    <row r="12" spans="1:2">
      <c r="A12" t="s">
        <v>382</v>
      </c>
      <c r="B12">
        <v>431</v>
      </c>
    </row>
    <row r="13" spans="1:2">
      <c r="A13" t="s">
        <v>383</v>
      </c>
      <c r="B13">
        <v>2400</v>
      </c>
    </row>
    <row r="14" spans="1:2">
      <c r="A14" t="s">
        <v>384</v>
      </c>
      <c r="B14">
        <v>2227</v>
      </c>
    </row>
    <row r="15" spans="1:2">
      <c r="A15" t="s">
        <v>385</v>
      </c>
      <c r="B15">
        <v>200</v>
      </c>
    </row>
    <row r="16" spans="1:2">
      <c r="A16" t="s">
        <v>386</v>
      </c>
      <c r="B16">
        <v>9050</v>
      </c>
    </row>
    <row r="17" spans="1:2">
      <c r="A17" t="s">
        <v>387</v>
      </c>
      <c r="B17">
        <v>2000</v>
      </c>
    </row>
    <row r="18" spans="1:2">
      <c r="A18" t="s">
        <v>388</v>
      </c>
      <c r="B18">
        <v>1818</v>
      </c>
    </row>
    <row r="19" spans="1:2">
      <c r="A19" t="s">
        <v>389</v>
      </c>
      <c r="B19">
        <v>2110</v>
      </c>
    </row>
    <row r="20" spans="1:2">
      <c r="A20" t="s">
        <v>251</v>
      </c>
      <c r="B20">
        <v>30275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pane ySplit="1" topLeftCell="A16" activePane="bottomLeft" state="frozen"/>
      <selection/>
      <selection pane="bottomLeft" activeCell="H31" sqref="H31"/>
    </sheetView>
  </sheetViews>
  <sheetFormatPr defaultColWidth="9" defaultRowHeight="15" outlineLevelCol="5"/>
  <cols>
    <col min="1" max="1" width="17.1428571428571" customWidth="1"/>
    <col min="2" max="2" width="19.4285714285714" customWidth="1"/>
    <col min="3" max="3" width="20.8571428571429" customWidth="1"/>
    <col min="4" max="4" width="19" customWidth="1"/>
    <col min="5" max="5" width="13.5714285714286" customWidth="1"/>
    <col min="6" max="6" width="11.4285714285714" customWidth="1"/>
  </cols>
  <sheetData>
    <row r="1" spans="1:6">
      <c r="A1" s="7" t="s">
        <v>390</v>
      </c>
      <c r="B1" s="7" t="s">
        <v>253</v>
      </c>
      <c r="C1" s="7" t="s">
        <v>197</v>
      </c>
      <c r="D1" s="7" t="s">
        <v>372</v>
      </c>
      <c r="E1" s="7" t="s">
        <v>254</v>
      </c>
      <c r="F1" s="7" t="s">
        <v>391</v>
      </c>
    </row>
    <row r="2" spans="1:6">
      <c r="A2" s="8" t="s">
        <v>392</v>
      </c>
      <c r="B2" s="8" t="s">
        <v>23</v>
      </c>
      <c r="C2" s="8" t="s">
        <v>204</v>
      </c>
      <c r="D2" s="8" t="s">
        <v>376</v>
      </c>
      <c r="E2" s="14">
        <v>46204</v>
      </c>
      <c r="F2" s="9">
        <v>200</v>
      </c>
    </row>
    <row r="3" spans="1:6">
      <c r="A3" s="8" t="s">
        <v>393</v>
      </c>
      <c r="B3" s="8" t="s">
        <v>31</v>
      </c>
      <c r="C3" s="8" t="s">
        <v>210</v>
      </c>
      <c r="D3" s="8" t="s">
        <v>389</v>
      </c>
      <c r="E3" s="14">
        <v>46205</v>
      </c>
      <c r="F3" s="9">
        <v>500</v>
      </c>
    </row>
    <row r="4" spans="1:6">
      <c r="A4" s="8" t="s">
        <v>394</v>
      </c>
      <c r="B4" s="8" t="s">
        <v>37</v>
      </c>
      <c r="C4" s="8" t="s">
        <v>214</v>
      </c>
      <c r="D4" s="8" t="s">
        <v>375</v>
      </c>
      <c r="E4" s="14">
        <v>46206</v>
      </c>
      <c r="F4" s="9">
        <v>600</v>
      </c>
    </row>
    <row r="5" spans="1:6">
      <c r="A5" s="8" t="s">
        <v>395</v>
      </c>
      <c r="B5" s="8" t="s">
        <v>42</v>
      </c>
      <c r="C5" s="8" t="s">
        <v>218</v>
      </c>
      <c r="D5" s="8" t="s">
        <v>386</v>
      </c>
      <c r="E5" s="14">
        <v>46207</v>
      </c>
      <c r="F5" s="9">
        <v>1000</v>
      </c>
    </row>
    <row r="6" spans="1:6">
      <c r="A6" s="8" t="s">
        <v>396</v>
      </c>
      <c r="B6" s="8" t="s">
        <v>47</v>
      </c>
      <c r="C6" s="8" t="s">
        <v>222</v>
      </c>
      <c r="D6" s="8" t="s">
        <v>384</v>
      </c>
      <c r="E6" s="14">
        <v>46208</v>
      </c>
      <c r="F6" s="9">
        <v>400</v>
      </c>
    </row>
    <row r="7" spans="1:6">
      <c r="A7" s="8" t="s">
        <v>397</v>
      </c>
      <c r="B7" s="8" t="s">
        <v>52</v>
      </c>
      <c r="C7" s="8" t="s">
        <v>226</v>
      </c>
      <c r="D7" s="8" t="s">
        <v>388</v>
      </c>
      <c r="E7" s="14">
        <v>46209</v>
      </c>
      <c r="F7" s="9">
        <v>300</v>
      </c>
    </row>
    <row r="8" spans="1:6">
      <c r="A8" s="8" t="s">
        <v>398</v>
      </c>
      <c r="B8" s="8" t="s">
        <v>57</v>
      </c>
      <c r="C8" s="8" t="s">
        <v>229</v>
      </c>
      <c r="D8" s="8" t="s">
        <v>383</v>
      </c>
      <c r="E8" s="14">
        <v>46210</v>
      </c>
      <c r="F8" s="9">
        <v>800</v>
      </c>
    </row>
    <row r="9" spans="1:6">
      <c r="A9" s="8" t="s">
        <v>399</v>
      </c>
      <c r="B9" s="8" t="s">
        <v>62</v>
      </c>
      <c r="C9" s="8" t="s">
        <v>232</v>
      </c>
      <c r="D9" s="8" t="s">
        <v>377</v>
      </c>
      <c r="E9" s="14">
        <v>46211</v>
      </c>
      <c r="F9" s="9">
        <v>900</v>
      </c>
    </row>
    <row r="10" spans="1:6">
      <c r="A10" s="8" t="s">
        <v>400</v>
      </c>
      <c r="B10" s="8" t="s">
        <v>67</v>
      </c>
      <c r="C10" s="8" t="s">
        <v>235</v>
      </c>
      <c r="D10" s="8" t="s">
        <v>380</v>
      </c>
      <c r="E10" s="14">
        <v>46212</v>
      </c>
      <c r="F10" s="9">
        <v>200</v>
      </c>
    </row>
    <row r="11" spans="1:6">
      <c r="A11" s="8" t="s">
        <v>401</v>
      </c>
      <c r="B11" s="8" t="s">
        <v>72</v>
      </c>
      <c r="C11" s="8" t="s">
        <v>238</v>
      </c>
      <c r="D11" s="8" t="s">
        <v>385</v>
      </c>
      <c r="E11" s="14">
        <v>46213</v>
      </c>
      <c r="F11" s="9">
        <v>200</v>
      </c>
    </row>
    <row r="12" spans="1:6">
      <c r="A12" s="8" t="s">
        <v>402</v>
      </c>
      <c r="B12" s="8" t="s">
        <v>77</v>
      </c>
      <c r="C12" s="8" t="s">
        <v>204</v>
      </c>
      <c r="D12" s="8" t="s">
        <v>379</v>
      </c>
      <c r="E12" s="14">
        <v>46214</v>
      </c>
      <c r="F12" s="9">
        <v>700</v>
      </c>
    </row>
    <row r="13" spans="1:6">
      <c r="A13" s="8" t="s">
        <v>403</v>
      </c>
      <c r="B13" s="8" t="s">
        <v>80</v>
      </c>
      <c r="C13" s="8" t="s">
        <v>210</v>
      </c>
      <c r="D13" s="8" t="s">
        <v>374</v>
      </c>
      <c r="E13" s="14">
        <v>46215</v>
      </c>
      <c r="F13" s="9">
        <v>600</v>
      </c>
    </row>
    <row r="14" spans="1:6">
      <c r="A14" s="8" t="s">
        <v>404</v>
      </c>
      <c r="B14" s="8" t="s">
        <v>83</v>
      </c>
      <c r="C14" s="8" t="s">
        <v>214</v>
      </c>
      <c r="D14" s="8" t="s">
        <v>386</v>
      </c>
      <c r="E14" s="14">
        <v>46216</v>
      </c>
      <c r="F14" s="9">
        <v>1200</v>
      </c>
    </row>
    <row r="15" spans="1:6">
      <c r="A15" s="8" t="s">
        <v>405</v>
      </c>
      <c r="B15" s="8" t="s">
        <v>86</v>
      </c>
      <c r="C15" s="8" t="s">
        <v>218</v>
      </c>
      <c r="D15" s="8" t="s">
        <v>384</v>
      </c>
      <c r="E15" s="14">
        <v>46217</v>
      </c>
      <c r="F15" s="9">
        <v>500</v>
      </c>
    </row>
    <row r="16" spans="1:6">
      <c r="A16" s="8" t="s">
        <v>406</v>
      </c>
      <c r="B16" s="8" t="s">
        <v>89</v>
      </c>
      <c r="C16" s="8" t="s">
        <v>222</v>
      </c>
      <c r="D16" s="8" t="s">
        <v>388</v>
      </c>
      <c r="E16" s="14">
        <v>46218</v>
      </c>
      <c r="F16" s="9">
        <v>350</v>
      </c>
    </row>
    <row r="17" spans="1:6">
      <c r="A17" s="8" t="s">
        <v>407</v>
      </c>
      <c r="B17" s="8" t="s">
        <v>92</v>
      </c>
      <c r="C17" s="8" t="s">
        <v>226</v>
      </c>
      <c r="D17" s="8" t="s">
        <v>383</v>
      </c>
      <c r="E17" s="14">
        <v>46219</v>
      </c>
      <c r="F17" s="9">
        <v>700</v>
      </c>
    </row>
    <row r="18" spans="1:6">
      <c r="A18" s="8" t="s">
        <v>408</v>
      </c>
      <c r="B18" s="8" t="s">
        <v>95</v>
      </c>
      <c r="C18" s="8" t="s">
        <v>229</v>
      </c>
      <c r="D18" s="8" t="s">
        <v>377</v>
      </c>
      <c r="E18" s="14">
        <v>46220</v>
      </c>
      <c r="F18" s="9">
        <v>860</v>
      </c>
    </row>
    <row r="19" spans="1:6">
      <c r="A19" s="8" t="s">
        <v>409</v>
      </c>
      <c r="B19" s="8" t="s">
        <v>98</v>
      </c>
      <c r="C19" s="8" t="s">
        <v>232</v>
      </c>
      <c r="D19" s="8" t="s">
        <v>382</v>
      </c>
      <c r="E19" s="14">
        <v>46221</v>
      </c>
      <c r="F19" s="9">
        <v>200</v>
      </c>
    </row>
    <row r="20" spans="1:6">
      <c r="A20" s="8" t="s">
        <v>410</v>
      </c>
      <c r="B20" s="8" t="s">
        <v>101</v>
      </c>
      <c r="C20" s="8" t="s">
        <v>235</v>
      </c>
      <c r="D20" s="8" t="s">
        <v>376</v>
      </c>
      <c r="E20" s="14">
        <v>46222</v>
      </c>
      <c r="F20" s="9">
        <v>200</v>
      </c>
    </row>
    <row r="21" spans="1:6">
      <c r="A21" s="8" t="s">
        <v>411</v>
      </c>
      <c r="B21" s="8" t="s">
        <v>104</v>
      </c>
      <c r="C21" s="8" t="s">
        <v>238</v>
      </c>
      <c r="D21" s="8" t="s">
        <v>387</v>
      </c>
      <c r="E21" s="14">
        <v>46223</v>
      </c>
      <c r="F21" s="9">
        <v>2000</v>
      </c>
    </row>
    <row r="22" spans="1:6">
      <c r="A22" s="8" t="s">
        <v>412</v>
      </c>
      <c r="B22" s="8" t="s">
        <v>107</v>
      </c>
      <c r="C22" s="8" t="s">
        <v>238</v>
      </c>
      <c r="D22" s="8" t="s">
        <v>384</v>
      </c>
      <c r="E22" s="14">
        <v>46224</v>
      </c>
      <c r="F22" s="9">
        <v>400</v>
      </c>
    </row>
    <row r="23" spans="1:6">
      <c r="A23" s="8" t="s">
        <v>413</v>
      </c>
      <c r="B23" s="8" t="s">
        <v>110</v>
      </c>
      <c r="C23" s="8" t="s">
        <v>218</v>
      </c>
      <c r="D23" s="8" t="s">
        <v>388</v>
      </c>
      <c r="E23" s="14">
        <v>46225</v>
      </c>
      <c r="F23" s="9">
        <v>340</v>
      </c>
    </row>
    <row r="24" spans="1:6">
      <c r="A24" s="8" t="s">
        <v>414</v>
      </c>
      <c r="B24" s="8" t="s">
        <v>113</v>
      </c>
      <c r="C24" s="8" t="s">
        <v>222</v>
      </c>
      <c r="D24" s="8" t="s">
        <v>381</v>
      </c>
      <c r="E24" s="14">
        <v>46226</v>
      </c>
      <c r="F24" s="9">
        <v>200</v>
      </c>
    </row>
    <row r="25" spans="1:6">
      <c r="A25" s="8" t="s">
        <v>415</v>
      </c>
      <c r="B25" s="8" t="s">
        <v>116</v>
      </c>
      <c r="C25" s="8" t="s">
        <v>226</v>
      </c>
      <c r="D25" s="8" t="s">
        <v>389</v>
      </c>
      <c r="E25" s="14">
        <v>46227</v>
      </c>
      <c r="F25" s="9">
        <v>860</v>
      </c>
    </row>
    <row r="26" spans="1:6">
      <c r="A26" s="8" t="s">
        <v>416</v>
      </c>
      <c r="B26" s="8" t="s">
        <v>119</v>
      </c>
      <c r="C26" s="8" t="s">
        <v>235</v>
      </c>
      <c r="D26" s="8" t="s">
        <v>375</v>
      </c>
      <c r="E26" s="14">
        <v>46228</v>
      </c>
      <c r="F26" s="9">
        <v>400</v>
      </c>
    </row>
    <row r="27" spans="1:6">
      <c r="A27" s="8" t="s">
        <v>417</v>
      </c>
      <c r="B27" s="8" t="s">
        <v>122</v>
      </c>
      <c r="C27" s="8" t="s">
        <v>238</v>
      </c>
      <c r="D27" s="8" t="s">
        <v>386</v>
      </c>
      <c r="E27" s="14">
        <v>46229</v>
      </c>
      <c r="F27" s="9">
        <v>1600</v>
      </c>
    </row>
    <row r="28" spans="1:6">
      <c r="A28" s="8" t="s">
        <v>418</v>
      </c>
      <c r="B28" s="8" t="s">
        <v>125</v>
      </c>
      <c r="C28" s="8" t="s">
        <v>238</v>
      </c>
      <c r="D28" s="8" t="s">
        <v>384</v>
      </c>
      <c r="E28" s="14">
        <v>46230</v>
      </c>
      <c r="F28" s="9">
        <v>227</v>
      </c>
    </row>
    <row r="29" spans="1:6">
      <c r="A29" s="8" t="s">
        <v>419</v>
      </c>
      <c r="B29" s="8" t="s">
        <v>128</v>
      </c>
      <c r="C29" s="8" t="s">
        <v>218</v>
      </c>
      <c r="D29" s="8" t="s">
        <v>388</v>
      </c>
      <c r="E29" s="14">
        <v>46231</v>
      </c>
      <c r="F29" s="9">
        <v>228</v>
      </c>
    </row>
    <row r="30" spans="1:6">
      <c r="A30" s="8" t="s">
        <v>420</v>
      </c>
      <c r="B30" s="8" t="s">
        <v>131</v>
      </c>
      <c r="C30" s="8" t="s">
        <v>222</v>
      </c>
      <c r="D30" s="8" t="s">
        <v>381</v>
      </c>
      <c r="E30" s="14">
        <v>46204</v>
      </c>
      <c r="F30" s="9">
        <v>800</v>
      </c>
    </row>
    <row r="31" spans="1:6">
      <c r="A31" s="8" t="s">
        <v>421</v>
      </c>
      <c r="B31" s="8" t="s">
        <v>134</v>
      </c>
      <c r="C31" s="8" t="s">
        <v>235</v>
      </c>
      <c r="D31" s="8" t="s">
        <v>377</v>
      </c>
      <c r="E31" s="14">
        <v>46205</v>
      </c>
      <c r="F31" s="9">
        <v>600</v>
      </c>
    </row>
    <row r="32" spans="1:6">
      <c r="A32" s="8" t="s">
        <v>422</v>
      </c>
      <c r="B32" s="8" t="s">
        <v>137</v>
      </c>
      <c r="C32" s="8" t="s">
        <v>204</v>
      </c>
      <c r="D32" s="8" t="s">
        <v>382</v>
      </c>
      <c r="E32" s="14">
        <v>46206</v>
      </c>
      <c r="F32" s="9">
        <v>231</v>
      </c>
    </row>
    <row r="33" spans="1:6">
      <c r="A33" s="8" t="s">
        <v>423</v>
      </c>
      <c r="B33" s="8" t="s">
        <v>140</v>
      </c>
      <c r="C33" s="8" t="s">
        <v>210</v>
      </c>
      <c r="D33" s="8" t="s">
        <v>376</v>
      </c>
      <c r="E33" s="14">
        <v>46207</v>
      </c>
      <c r="F33" s="9">
        <v>232</v>
      </c>
    </row>
    <row r="34" spans="1:6">
      <c r="A34" s="8" t="s">
        <v>424</v>
      </c>
      <c r="B34" s="8" t="s">
        <v>143</v>
      </c>
      <c r="C34" s="8" t="s">
        <v>214</v>
      </c>
      <c r="D34" s="8" t="s">
        <v>378</v>
      </c>
      <c r="E34" s="14">
        <v>46208</v>
      </c>
      <c r="F34" s="9">
        <v>500</v>
      </c>
    </row>
    <row r="35" spans="1:6">
      <c r="A35" s="8" t="s">
        <v>425</v>
      </c>
      <c r="B35" s="8" t="s">
        <v>146</v>
      </c>
      <c r="C35" s="8" t="s">
        <v>218</v>
      </c>
      <c r="D35" s="8" t="s">
        <v>375</v>
      </c>
      <c r="E35" s="14">
        <v>46209</v>
      </c>
      <c r="F35" s="9">
        <v>350</v>
      </c>
    </row>
    <row r="36" spans="1:6">
      <c r="A36" s="8" t="s">
        <v>426</v>
      </c>
      <c r="B36" s="8" t="s">
        <v>149</v>
      </c>
      <c r="C36" s="8" t="s">
        <v>222</v>
      </c>
      <c r="D36" s="8" t="s">
        <v>386</v>
      </c>
      <c r="E36" s="14">
        <v>46210</v>
      </c>
      <c r="F36" s="9">
        <v>1000</v>
      </c>
    </row>
    <row r="37" spans="1:6">
      <c r="A37" s="8" t="s">
        <v>427</v>
      </c>
      <c r="B37" s="8" t="s">
        <v>152</v>
      </c>
      <c r="C37" s="8" t="s">
        <v>226</v>
      </c>
      <c r="D37" s="8" t="s">
        <v>384</v>
      </c>
      <c r="E37" s="14">
        <v>46211</v>
      </c>
      <c r="F37" s="9">
        <v>300</v>
      </c>
    </row>
    <row r="38" spans="1:6">
      <c r="A38" s="8" t="s">
        <v>428</v>
      </c>
      <c r="B38" s="8" t="s">
        <v>155</v>
      </c>
      <c r="C38" s="8" t="s">
        <v>229</v>
      </c>
      <c r="D38" s="8" t="s">
        <v>388</v>
      </c>
      <c r="E38" s="14">
        <v>46212</v>
      </c>
      <c r="F38" s="9">
        <v>300</v>
      </c>
    </row>
    <row r="39" spans="1:6">
      <c r="A39" s="8" t="s">
        <v>429</v>
      </c>
      <c r="B39" s="8" t="s">
        <v>158</v>
      </c>
      <c r="C39" s="8" t="s">
        <v>232</v>
      </c>
      <c r="D39" s="8" t="s">
        <v>383</v>
      </c>
      <c r="E39" s="14">
        <v>46213</v>
      </c>
      <c r="F39" s="9">
        <v>900</v>
      </c>
    </row>
    <row r="40" spans="1:6">
      <c r="A40" s="8" t="s">
        <v>430</v>
      </c>
      <c r="B40" s="8" t="s">
        <v>161</v>
      </c>
      <c r="C40" s="8" t="s">
        <v>235</v>
      </c>
      <c r="D40" s="8" t="s">
        <v>377</v>
      </c>
      <c r="E40" s="14">
        <v>46214</v>
      </c>
      <c r="F40" s="9">
        <v>850</v>
      </c>
    </row>
    <row r="41" spans="1:6">
      <c r="A41" s="8" t="s">
        <v>431</v>
      </c>
      <c r="B41" s="8" t="s">
        <v>164</v>
      </c>
      <c r="C41" s="8" t="s">
        <v>238</v>
      </c>
      <c r="D41" s="8" t="s">
        <v>389</v>
      </c>
      <c r="E41" s="14">
        <v>46215</v>
      </c>
      <c r="F41" s="9">
        <v>750</v>
      </c>
    </row>
    <row r="42" spans="1:6">
      <c r="A42" s="8" t="s">
        <v>432</v>
      </c>
      <c r="B42" s="8" t="s">
        <v>167</v>
      </c>
      <c r="C42" s="8" t="s">
        <v>214</v>
      </c>
      <c r="D42" s="8" t="s">
        <v>375</v>
      </c>
      <c r="E42" s="14">
        <v>46216</v>
      </c>
      <c r="F42" s="9">
        <v>400</v>
      </c>
    </row>
    <row r="43" spans="1:6">
      <c r="A43" s="8" t="s">
        <v>433</v>
      </c>
      <c r="B43" s="8" t="s">
        <v>170</v>
      </c>
      <c r="C43" s="8" t="s">
        <v>214</v>
      </c>
      <c r="D43" s="8" t="s">
        <v>386</v>
      </c>
      <c r="E43" s="14">
        <v>46217</v>
      </c>
      <c r="F43" s="9">
        <v>1200</v>
      </c>
    </row>
    <row r="44" spans="1:6">
      <c r="A44" s="8" t="s">
        <v>434</v>
      </c>
      <c r="B44" s="8" t="s">
        <v>173</v>
      </c>
      <c r="C44" s="8" t="s">
        <v>218</v>
      </c>
      <c r="D44" s="8" t="s">
        <v>376</v>
      </c>
      <c r="E44" s="14">
        <v>46218</v>
      </c>
      <c r="F44" s="9">
        <v>243</v>
      </c>
    </row>
    <row r="45" spans="1:6">
      <c r="A45" s="8" t="s">
        <v>435</v>
      </c>
      <c r="B45" s="8" t="s">
        <v>176</v>
      </c>
      <c r="C45" s="8" t="s">
        <v>222</v>
      </c>
      <c r="D45" s="8" t="s">
        <v>376</v>
      </c>
      <c r="E45" s="14">
        <v>46219</v>
      </c>
      <c r="F45" s="9">
        <v>244</v>
      </c>
    </row>
    <row r="46" spans="1:6">
      <c r="A46" s="8" t="s">
        <v>436</v>
      </c>
      <c r="B46" s="8" t="s">
        <v>179</v>
      </c>
      <c r="C46" s="8" t="s">
        <v>235</v>
      </c>
      <c r="D46" s="8" t="s">
        <v>375</v>
      </c>
      <c r="E46" s="14">
        <v>46220</v>
      </c>
      <c r="F46" s="9">
        <v>340</v>
      </c>
    </row>
    <row r="47" spans="1:6">
      <c r="A47" s="8" t="s">
        <v>437</v>
      </c>
      <c r="B47" s="8" t="s">
        <v>182</v>
      </c>
      <c r="C47" s="8" t="s">
        <v>238</v>
      </c>
      <c r="D47" s="8" t="s">
        <v>386</v>
      </c>
      <c r="E47" s="14">
        <v>46221</v>
      </c>
      <c r="F47" s="9">
        <v>1350</v>
      </c>
    </row>
    <row r="48" spans="1:6">
      <c r="A48" s="8" t="s">
        <v>438</v>
      </c>
      <c r="B48" s="8" t="s">
        <v>185</v>
      </c>
      <c r="C48" s="8" t="s">
        <v>218</v>
      </c>
      <c r="D48" s="8" t="s">
        <v>384</v>
      </c>
      <c r="E48" s="14">
        <v>46222</v>
      </c>
      <c r="F48" s="9">
        <v>400</v>
      </c>
    </row>
    <row r="49" spans="1:6">
      <c r="A49" s="8" t="s">
        <v>439</v>
      </c>
      <c r="B49" s="8" t="s">
        <v>188</v>
      </c>
      <c r="C49" s="8" t="s">
        <v>238</v>
      </c>
      <c r="D49" s="8" t="s">
        <v>386</v>
      </c>
      <c r="E49" s="14">
        <v>46223</v>
      </c>
      <c r="F49" s="9">
        <v>1700</v>
      </c>
    </row>
    <row r="50" spans="1:6">
      <c r="A50" s="8" t="s">
        <v>440</v>
      </c>
      <c r="B50" s="8" t="s">
        <v>191</v>
      </c>
      <c r="C50" s="8" t="s">
        <v>218</v>
      </c>
      <c r="D50" s="8" t="s">
        <v>388</v>
      </c>
      <c r="E50" s="14">
        <v>46224</v>
      </c>
      <c r="F50" s="9">
        <v>300</v>
      </c>
    </row>
    <row r="51" spans="1:6">
      <c r="A51" s="8" t="s">
        <v>441</v>
      </c>
      <c r="B51" s="8" t="s">
        <v>194</v>
      </c>
      <c r="C51" s="8" t="s">
        <v>222</v>
      </c>
      <c r="D51" s="8" t="s">
        <v>378</v>
      </c>
      <c r="E51" s="14">
        <v>46225</v>
      </c>
      <c r="F51" s="9">
        <v>620</v>
      </c>
    </row>
  </sheetData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J2" sqref="J2"/>
    </sheetView>
  </sheetViews>
  <sheetFormatPr defaultColWidth="9" defaultRowHeight="15" outlineLevelCol="6"/>
  <cols>
    <col min="1" max="1" width="17.4285714285714" customWidth="1"/>
    <col min="2" max="2" width="16.5714285714286" customWidth="1"/>
    <col min="3" max="3" width="16.1428571428571" customWidth="1"/>
    <col min="4" max="4" width="17" customWidth="1"/>
    <col min="5" max="5" width="13.4285714285714" customWidth="1"/>
    <col min="6" max="6" width="15.5714285714286" customWidth="1"/>
    <col min="7" max="7" width="15.2857142857143" customWidth="1"/>
  </cols>
  <sheetData>
    <row r="1" spans="1:7">
      <c r="A1" s="7" t="s">
        <v>442</v>
      </c>
      <c r="B1" s="7" t="s">
        <v>443</v>
      </c>
      <c r="C1" s="7" t="s">
        <v>444</v>
      </c>
      <c r="D1" s="7" t="s">
        <v>445</v>
      </c>
      <c r="E1" s="7" t="s">
        <v>446</v>
      </c>
      <c r="F1" s="7" t="s">
        <v>447</v>
      </c>
      <c r="G1" s="7" t="s">
        <v>448</v>
      </c>
    </row>
    <row r="2" spans="1:7">
      <c r="A2" s="8" t="s">
        <v>449</v>
      </c>
      <c r="B2" s="8" t="s">
        <v>450</v>
      </c>
      <c r="C2" s="8" t="s">
        <v>451</v>
      </c>
      <c r="D2" s="9">
        <v>11</v>
      </c>
      <c r="E2" s="8">
        <v>99</v>
      </c>
      <c r="F2" s="8" t="s">
        <v>447</v>
      </c>
      <c r="G2" s="14">
        <v>46752</v>
      </c>
    </row>
    <row r="3" spans="1:7">
      <c r="A3" s="8" t="s">
        <v>452</v>
      </c>
      <c r="B3" s="8" t="s">
        <v>453</v>
      </c>
      <c r="C3" s="8" t="s">
        <v>451</v>
      </c>
      <c r="D3" s="9">
        <v>12</v>
      </c>
      <c r="E3" s="8">
        <v>98</v>
      </c>
      <c r="F3" s="8" t="s">
        <v>447</v>
      </c>
      <c r="G3" s="14">
        <v>46752</v>
      </c>
    </row>
    <row r="4" spans="1:7">
      <c r="A4" s="8" t="s">
        <v>454</v>
      </c>
      <c r="B4" s="8" t="s">
        <v>455</v>
      </c>
      <c r="C4" s="8" t="s">
        <v>451</v>
      </c>
      <c r="D4" s="9">
        <v>13</v>
      </c>
      <c r="E4" s="8">
        <v>97</v>
      </c>
      <c r="F4" s="8" t="s">
        <v>447</v>
      </c>
      <c r="G4" s="14">
        <v>46752</v>
      </c>
    </row>
    <row r="5" spans="1:7">
      <c r="A5" s="8" t="s">
        <v>456</v>
      </c>
      <c r="B5" s="8" t="s">
        <v>457</v>
      </c>
      <c r="C5" s="8" t="s">
        <v>451</v>
      </c>
      <c r="D5" s="9">
        <v>14</v>
      </c>
      <c r="E5" s="8">
        <v>96</v>
      </c>
      <c r="F5" s="8" t="s">
        <v>447</v>
      </c>
      <c r="G5" s="14">
        <v>46752</v>
      </c>
    </row>
    <row r="6" spans="1:7">
      <c r="A6" s="8" t="s">
        <v>458</v>
      </c>
      <c r="B6" s="8" t="s">
        <v>459</v>
      </c>
      <c r="C6" s="8" t="s">
        <v>451</v>
      </c>
      <c r="D6" s="9">
        <v>15</v>
      </c>
      <c r="E6" s="8">
        <v>95</v>
      </c>
      <c r="F6" s="8" t="s">
        <v>447</v>
      </c>
      <c r="G6" s="14">
        <v>46752</v>
      </c>
    </row>
    <row r="7" spans="1:7">
      <c r="A7" s="8" t="s">
        <v>460</v>
      </c>
      <c r="B7" s="8" t="s">
        <v>461</v>
      </c>
      <c r="C7" s="8" t="s">
        <v>451</v>
      </c>
      <c r="D7" s="9">
        <v>16</v>
      </c>
      <c r="E7" s="8">
        <v>94</v>
      </c>
      <c r="F7" s="8" t="s">
        <v>447</v>
      </c>
      <c r="G7" s="14">
        <v>46752</v>
      </c>
    </row>
    <row r="8" spans="1:7">
      <c r="A8" s="8" t="s">
        <v>462</v>
      </c>
      <c r="B8" s="8" t="s">
        <v>463</v>
      </c>
      <c r="C8" s="8" t="s">
        <v>451</v>
      </c>
      <c r="D8" s="9">
        <v>17</v>
      </c>
      <c r="E8" s="8">
        <v>93</v>
      </c>
      <c r="F8" s="8" t="s">
        <v>447</v>
      </c>
      <c r="G8" s="14">
        <v>46752</v>
      </c>
    </row>
    <row r="9" spans="1:7">
      <c r="A9" s="8" t="s">
        <v>464</v>
      </c>
      <c r="B9" s="8" t="s">
        <v>465</v>
      </c>
      <c r="C9" s="8" t="s">
        <v>451</v>
      </c>
      <c r="D9" s="9">
        <v>18</v>
      </c>
      <c r="E9" s="8">
        <v>92</v>
      </c>
      <c r="F9" s="8" t="s">
        <v>447</v>
      </c>
      <c r="G9" s="14">
        <v>46752</v>
      </c>
    </row>
    <row r="10" spans="1:7">
      <c r="A10" s="8" t="s">
        <v>466</v>
      </c>
      <c r="B10" s="8" t="s">
        <v>467</v>
      </c>
      <c r="C10" s="8" t="s">
        <v>451</v>
      </c>
      <c r="D10" s="9">
        <v>19</v>
      </c>
      <c r="E10" s="8">
        <v>91</v>
      </c>
      <c r="F10" s="8" t="s">
        <v>447</v>
      </c>
      <c r="G10" s="14">
        <v>46752</v>
      </c>
    </row>
    <row r="11" spans="1:7">
      <c r="A11" s="8" t="s">
        <v>468</v>
      </c>
      <c r="B11" s="8" t="s">
        <v>469</v>
      </c>
      <c r="C11" s="8" t="s">
        <v>451</v>
      </c>
      <c r="D11" s="9">
        <v>20</v>
      </c>
      <c r="E11" s="8">
        <v>90</v>
      </c>
      <c r="F11" s="8" t="s">
        <v>447</v>
      </c>
      <c r="G11" s="14">
        <v>46752</v>
      </c>
    </row>
  </sheetData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H1" sqref="H1"/>
    </sheetView>
  </sheetViews>
  <sheetFormatPr defaultColWidth="9" defaultRowHeight="15" outlineLevelCol="5"/>
  <cols>
    <col min="1" max="1" width="17.8571428571429" customWidth="1"/>
    <col min="2" max="2" width="17.2857142857143" customWidth="1"/>
    <col min="3" max="3" width="20" customWidth="1"/>
    <col min="4" max="4" width="17.2857142857143" customWidth="1"/>
    <col min="5" max="5" width="13" customWidth="1"/>
    <col min="6" max="6" width="18.4285714285714" customWidth="1"/>
  </cols>
  <sheetData>
    <row r="1" spans="1:6">
      <c r="A1" s="7" t="s">
        <v>470</v>
      </c>
      <c r="B1" s="7" t="s">
        <v>253</v>
      </c>
      <c r="C1" s="7" t="s">
        <v>197</v>
      </c>
      <c r="D1" s="7" t="s">
        <v>442</v>
      </c>
      <c r="E1" s="7" t="s">
        <v>446</v>
      </c>
      <c r="F1" s="7" t="s">
        <v>254</v>
      </c>
    </row>
    <row r="2" spans="1:6">
      <c r="A2" s="8" t="s">
        <v>471</v>
      </c>
      <c r="B2" s="8" t="s">
        <v>23</v>
      </c>
      <c r="C2" s="8" t="s">
        <v>204</v>
      </c>
      <c r="D2" s="8" t="s">
        <v>449</v>
      </c>
      <c r="E2" s="8">
        <v>2</v>
      </c>
      <c r="F2" s="14">
        <v>46204</v>
      </c>
    </row>
    <row r="3" spans="1:6">
      <c r="A3" s="8" t="s">
        <v>472</v>
      </c>
      <c r="B3" s="8" t="s">
        <v>31</v>
      </c>
      <c r="C3" s="8" t="s">
        <v>210</v>
      </c>
      <c r="D3" s="8" t="s">
        <v>449</v>
      </c>
      <c r="E3" s="8">
        <v>2</v>
      </c>
      <c r="F3" s="14">
        <v>46205</v>
      </c>
    </row>
    <row r="4" spans="1:6">
      <c r="A4" s="8" t="s">
        <v>473</v>
      </c>
      <c r="B4" s="8" t="s">
        <v>37</v>
      </c>
      <c r="C4" s="8" t="s">
        <v>214</v>
      </c>
      <c r="D4" s="8" t="s">
        <v>449</v>
      </c>
      <c r="E4" s="8">
        <v>2</v>
      </c>
      <c r="F4" s="14">
        <v>46206</v>
      </c>
    </row>
    <row r="5" spans="1:6">
      <c r="A5" s="8" t="s">
        <v>474</v>
      </c>
      <c r="B5" s="8" t="s">
        <v>42</v>
      </c>
      <c r="C5" s="8" t="s">
        <v>218</v>
      </c>
      <c r="D5" s="8" t="s">
        <v>449</v>
      </c>
      <c r="E5" s="8">
        <v>2</v>
      </c>
      <c r="F5" s="14">
        <v>46207</v>
      </c>
    </row>
    <row r="6" spans="1:6">
      <c r="A6" s="8" t="s">
        <v>475</v>
      </c>
      <c r="B6" s="8" t="s">
        <v>47</v>
      </c>
      <c r="C6" s="8" t="s">
        <v>222</v>
      </c>
      <c r="D6" s="8" t="s">
        <v>449</v>
      </c>
      <c r="E6" s="8">
        <v>2</v>
      </c>
      <c r="F6" s="14">
        <v>46208</v>
      </c>
    </row>
    <row r="7" spans="1:6">
      <c r="A7" s="8" t="s">
        <v>476</v>
      </c>
      <c r="B7" s="8" t="s">
        <v>52</v>
      </c>
      <c r="C7" s="8" t="s">
        <v>226</v>
      </c>
      <c r="D7" s="8" t="s">
        <v>449</v>
      </c>
      <c r="E7" s="8">
        <v>2</v>
      </c>
      <c r="F7" s="14">
        <v>46209</v>
      </c>
    </row>
    <row r="8" spans="1:6">
      <c r="A8" s="8" t="s">
        <v>477</v>
      </c>
      <c r="B8" s="8" t="s">
        <v>57</v>
      </c>
      <c r="C8" s="8" t="s">
        <v>229</v>
      </c>
      <c r="D8" s="8" t="s">
        <v>449</v>
      </c>
      <c r="E8" s="8">
        <v>2</v>
      </c>
      <c r="F8" s="14">
        <v>46210</v>
      </c>
    </row>
    <row r="9" spans="1:6">
      <c r="A9" s="8" t="s">
        <v>478</v>
      </c>
      <c r="B9" s="8" t="s">
        <v>62</v>
      </c>
      <c r="C9" s="8" t="s">
        <v>232</v>
      </c>
      <c r="D9" s="8" t="s">
        <v>449</v>
      </c>
      <c r="E9" s="8">
        <v>2</v>
      </c>
      <c r="F9" s="14">
        <v>46211</v>
      </c>
    </row>
    <row r="10" spans="1:6">
      <c r="A10" s="8" t="s">
        <v>479</v>
      </c>
      <c r="B10" s="8" t="s">
        <v>67</v>
      </c>
      <c r="C10" s="8" t="s">
        <v>235</v>
      </c>
      <c r="D10" s="8" t="s">
        <v>449</v>
      </c>
      <c r="E10" s="8">
        <v>2</v>
      </c>
      <c r="F10" s="14">
        <v>46212</v>
      </c>
    </row>
    <row r="11" spans="1:6">
      <c r="A11" s="8" t="s">
        <v>480</v>
      </c>
      <c r="B11" s="8" t="s">
        <v>72</v>
      </c>
      <c r="C11" s="8" t="s">
        <v>238</v>
      </c>
      <c r="D11" s="8" t="s">
        <v>449</v>
      </c>
      <c r="E11" s="8">
        <v>2</v>
      </c>
      <c r="F11" s="14">
        <v>46213</v>
      </c>
    </row>
    <row r="12" spans="1:6">
      <c r="A12" s="8" t="s">
        <v>481</v>
      </c>
      <c r="B12" s="8" t="s">
        <v>77</v>
      </c>
      <c r="C12" s="8" t="s">
        <v>204</v>
      </c>
      <c r="D12" s="8" t="s">
        <v>449</v>
      </c>
      <c r="E12" s="8">
        <v>2</v>
      </c>
      <c r="F12" s="14">
        <v>46214</v>
      </c>
    </row>
    <row r="13" spans="1:6">
      <c r="A13" s="8" t="s">
        <v>482</v>
      </c>
      <c r="B13" s="8" t="s">
        <v>80</v>
      </c>
      <c r="C13" s="8" t="s">
        <v>210</v>
      </c>
      <c r="D13" s="8" t="s">
        <v>449</v>
      </c>
      <c r="E13" s="8">
        <v>2</v>
      </c>
      <c r="F13" s="14">
        <v>46215</v>
      </c>
    </row>
    <row r="14" spans="1:6">
      <c r="A14" s="8" t="s">
        <v>483</v>
      </c>
      <c r="B14" s="8" t="s">
        <v>83</v>
      </c>
      <c r="C14" s="8" t="s">
        <v>214</v>
      </c>
      <c r="D14" s="8" t="s">
        <v>449</v>
      </c>
      <c r="E14" s="8">
        <v>2</v>
      </c>
      <c r="F14" s="14">
        <v>46216</v>
      </c>
    </row>
    <row r="15" spans="1:6">
      <c r="A15" s="8" t="s">
        <v>484</v>
      </c>
      <c r="B15" s="8" t="s">
        <v>86</v>
      </c>
      <c r="C15" s="8" t="s">
        <v>218</v>
      </c>
      <c r="D15" s="8" t="s">
        <v>449</v>
      </c>
      <c r="E15" s="8">
        <v>2</v>
      </c>
      <c r="F15" s="14">
        <v>46217</v>
      </c>
    </row>
    <row r="16" spans="1:6">
      <c r="A16" s="8" t="s">
        <v>485</v>
      </c>
      <c r="B16" s="8" t="s">
        <v>89</v>
      </c>
      <c r="C16" s="8" t="s">
        <v>222</v>
      </c>
      <c r="D16" s="8" t="s">
        <v>449</v>
      </c>
      <c r="E16" s="8">
        <v>2</v>
      </c>
      <c r="F16" s="14">
        <v>46218</v>
      </c>
    </row>
    <row r="17" spans="1:6">
      <c r="A17" s="8" t="s">
        <v>486</v>
      </c>
      <c r="B17" s="8" t="s">
        <v>92</v>
      </c>
      <c r="C17" s="8" t="s">
        <v>226</v>
      </c>
      <c r="D17" s="8" t="s">
        <v>449</v>
      </c>
      <c r="E17" s="8">
        <v>2</v>
      </c>
      <c r="F17" s="14">
        <v>46219</v>
      </c>
    </row>
    <row r="18" spans="1:6">
      <c r="A18" s="8" t="s">
        <v>487</v>
      </c>
      <c r="B18" s="8" t="s">
        <v>95</v>
      </c>
      <c r="C18" s="8" t="s">
        <v>229</v>
      </c>
      <c r="D18" s="8" t="s">
        <v>449</v>
      </c>
      <c r="E18" s="8">
        <v>2</v>
      </c>
      <c r="F18" s="14">
        <v>46220</v>
      </c>
    </row>
    <row r="19" spans="1:6">
      <c r="A19" s="8" t="s">
        <v>488</v>
      </c>
      <c r="B19" s="8" t="s">
        <v>98</v>
      </c>
      <c r="C19" s="8" t="s">
        <v>232</v>
      </c>
      <c r="D19" s="8" t="s">
        <v>449</v>
      </c>
      <c r="E19" s="8">
        <v>2</v>
      </c>
      <c r="F19" s="14">
        <v>46221</v>
      </c>
    </row>
    <row r="20" spans="1:6">
      <c r="A20" s="8" t="s">
        <v>489</v>
      </c>
      <c r="B20" s="8" t="s">
        <v>101</v>
      </c>
      <c r="C20" s="8" t="s">
        <v>235</v>
      </c>
      <c r="D20" s="8" t="s">
        <v>449</v>
      </c>
      <c r="E20" s="8">
        <v>2</v>
      </c>
      <c r="F20" s="14">
        <v>46222</v>
      </c>
    </row>
    <row r="21" spans="1:6">
      <c r="A21" s="8" t="s">
        <v>490</v>
      </c>
      <c r="B21" s="8" t="s">
        <v>104</v>
      </c>
      <c r="C21" s="8" t="s">
        <v>238</v>
      </c>
      <c r="D21" s="8" t="s">
        <v>449</v>
      </c>
      <c r="E21" s="8">
        <v>2</v>
      </c>
      <c r="F21" s="14">
        <v>46223</v>
      </c>
    </row>
    <row r="22" spans="1:6">
      <c r="A22" s="8" t="s">
        <v>491</v>
      </c>
      <c r="B22" s="8" t="s">
        <v>107</v>
      </c>
      <c r="C22" s="8" t="s">
        <v>238</v>
      </c>
      <c r="D22" s="8" t="s">
        <v>449</v>
      </c>
      <c r="E22" s="8">
        <v>2</v>
      </c>
      <c r="F22" s="14">
        <v>46224</v>
      </c>
    </row>
    <row r="23" spans="1:6">
      <c r="A23" s="8" t="s">
        <v>492</v>
      </c>
      <c r="B23" s="8" t="s">
        <v>110</v>
      </c>
      <c r="C23" s="8" t="s">
        <v>218</v>
      </c>
      <c r="D23" s="8" t="s">
        <v>449</v>
      </c>
      <c r="E23" s="8">
        <v>2</v>
      </c>
      <c r="F23" s="14">
        <v>46225</v>
      </c>
    </row>
    <row r="24" spans="1:6">
      <c r="A24" s="8" t="s">
        <v>493</v>
      </c>
      <c r="B24" s="8" t="s">
        <v>113</v>
      </c>
      <c r="C24" s="8" t="s">
        <v>222</v>
      </c>
      <c r="D24" s="8" t="s">
        <v>449</v>
      </c>
      <c r="E24" s="8">
        <v>2</v>
      </c>
      <c r="F24" s="14">
        <v>46226</v>
      </c>
    </row>
    <row r="25" spans="1:6">
      <c r="A25" s="8" t="s">
        <v>494</v>
      </c>
      <c r="B25" s="8" t="s">
        <v>116</v>
      </c>
      <c r="C25" s="8" t="s">
        <v>226</v>
      </c>
      <c r="D25" s="8" t="s">
        <v>449</v>
      </c>
      <c r="E25" s="8">
        <v>2</v>
      </c>
      <c r="F25" s="14">
        <v>46227</v>
      </c>
    </row>
    <row r="26" spans="1:6">
      <c r="A26" s="8" t="s">
        <v>495</v>
      </c>
      <c r="B26" s="8" t="s">
        <v>119</v>
      </c>
      <c r="C26" s="8" t="s">
        <v>235</v>
      </c>
      <c r="D26" s="8" t="s">
        <v>449</v>
      </c>
      <c r="E26" s="8">
        <v>2</v>
      </c>
      <c r="F26" s="14">
        <v>46228</v>
      </c>
    </row>
    <row r="27" spans="1:6">
      <c r="A27" s="8" t="s">
        <v>496</v>
      </c>
      <c r="B27" s="8" t="s">
        <v>122</v>
      </c>
      <c r="C27" s="8" t="s">
        <v>238</v>
      </c>
      <c r="D27" s="8" t="s">
        <v>449</v>
      </c>
      <c r="E27" s="8">
        <v>2</v>
      </c>
      <c r="F27" s="14">
        <v>46229</v>
      </c>
    </row>
    <row r="28" spans="1:6">
      <c r="A28" s="8" t="s">
        <v>497</v>
      </c>
      <c r="B28" s="8" t="s">
        <v>125</v>
      </c>
      <c r="C28" s="8" t="s">
        <v>238</v>
      </c>
      <c r="D28" s="8" t="s">
        <v>449</v>
      </c>
      <c r="E28" s="8">
        <v>2</v>
      </c>
      <c r="F28" s="14">
        <v>46230</v>
      </c>
    </row>
    <row r="29" spans="1:6">
      <c r="A29" s="8" t="s">
        <v>498</v>
      </c>
      <c r="B29" s="8" t="s">
        <v>128</v>
      </c>
      <c r="C29" s="8" t="s">
        <v>218</v>
      </c>
      <c r="D29" s="8" t="s">
        <v>449</v>
      </c>
      <c r="E29" s="8">
        <v>2</v>
      </c>
      <c r="F29" s="14">
        <v>46231</v>
      </c>
    </row>
    <row r="30" spans="1:6">
      <c r="A30" s="8" t="s">
        <v>499</v>
      </c>
      <c r="B30" s="8" t="s">
        <v>131</v>
      </c>
      <c r="C30" s="8" t="s">
        <v>222</v>
      </c>
      <c r="D30" s="8" t="s">
        <v>449</v>
      </c>
      <c r="E30" s="8">
        <v>2</v>
      </c>
      <c r="F30" s="14">
        <v>46204</v>
      </c>
    </row>
    <row r="31" spans="1:6">
      <c r="A31" s="8" t="s">
        <v>500</v>
      </c>
      <c r="B31" s="8" t="s">
        <v>134</v>
      </c>
      <c r="C31" s="8" t="s">
        <v>235</v>
      </c>
      <c r="D31" s="8" t="s">
        <v>449</v>
      </c>
      <c r="E31" s="8">
        <v>2</v>
      </c>
      <c r="F31" s="14">
        <v>46205</v>
      </c>
    </row>
    <row r="32" spans="1:6">
      <c r="A32" s="8" t="s">
        <v>501</v>
      </c>
      <c r="B32" s="8" t="s">
        <v>137</v>
      </c>
      <c r="C32" s="8" t="s">
        <v>204</v>
      </c>
      <c r="D32" s="8" t="s">
        <v>449</v>
      </c>
      <c r="E32" s="8">
        <v>2</v>
      </c>
      <c r="F32" s="14">
        <v>46206</v>
      </c>
    </row>
    <row r="33" spans="1:6">
      <c r="A33" s="8" t="s">
        <v>502</v>
      </c>
      <c r="B33" s="8" t="s">
        <v>140</v>
      </c>
      <c r="C33" s="8" t="s">
        <v>210</v>
      </c>
      <c r="D33" s="8" t="s">
        <v>449</v>
      </c>
      <c r="E33" s="8">
        <v>2</v>
      </c>
      <c r="F33" s="14">
        <v>46207</v>
      </c>
    </row>
    <row r="34" spans="1:6">
      <c r="A34" s="8" t="s">
        <v>503</v>
      </c>
      <c r="B34" s="8" t="s">
        <v>143</v>
      </c>
      <c r="C34" s="8" t="s">
        <v>214</v>
      </c>
      <c r="D34" s="8" t="s">
        <v>449</v>
      </c>
      <c r="E34" s="8">
        <v>2</v>
      </c>
      <c r="F34" s="14">
        <v>46208</v>
      </c>
    </row>
    <row r="35" spans="1:6">
      <c r="A35" s="8" t="s">
        <v>504</v>
      </c>
      <c r="B35" s="8" t="s">
        <v>146</v>
      </c>
      <c r="C35" s="8" t="s">
        <v>218</v>
      </c>
      <c r="D35" s="8" t="s">
        <v>449</v>
      </c>
      <c r="E35" s="8">
        <v>2</v>
      </c>
      <c r="F35" s="14">
        <v>46209</v>
      </c>
    </row>
    <row r="36" spans="1:6">
      <c r="A36" s="8" t="s">
        <v>505</v>
      </c>
      <c r="B36" s="8" t="s">
        <v>149</v>
      </c>
      <c r="C36" s="8" t="s">
        <v>222</v>
      </c>
      <c r="D36" s="8" t="s">
        <v>449</v>
      </c>
      <c r="E36" s="8">
        <v>2</v>
      </c>
      <c r="F36" s="14">
        <v>46210</v>
      </c>
    </row>
    <row r="37" spans="1:6">
      <c r="A37" s="8" t="s">
        <v>506</v>
      </c>
      <c r="B37" s="8" t="s">
        <v>152</v>
      </c>
      <c r="C37" s="8" t="s">
        <v>226</v>
      </c>
      <c r="D37" s="8" t="s">
        <v>449</v>
      </c>
      <c r="E37" s="8">
        <v>2</v>
      </c>
      <c r="F37" s="14">
        <v>46211</v>
      </c>
    </row>
    <row r="38" spans="1:6">
      <c r="A38" s="8" t="s">
        <v>507</v>
      </c>
      <c r="B38" s="8" t="s">
        <v>155</v>
      </c>
      <c r="C38" s="8" t="s">
        <v>229</v>
      </c>
      <c r="D38" s="8" t="s">
        <v>449</v>
      </c>
      <c r="E38" s="8">
        <v>2</v>
      </c>
      <c r="F38" s="14">
        <v>46212</v>
      </c>
    </row>
    <row r="39" spans="1:6">
      <c r="A39" s="8" t="s">
        <v>508</v>
      </c>
      <c r="B39" s="8" t="s">
        <v>158</v>
      </c>
      <c r="C39" s="8" t="s">
        <v>232</v>
      </c>
      <c r="D39" s="8" t="s">
        <v>449</v>
      </c>
      <c r="E39" s="8">
        <v>2</v>
      </c>
      <c r="F39" s="14">
        <v>46213</v>
      </c>
    </row>
    <row r="40" spans="1:6">
      <c r="A40" s="8" t="s">
        <v>509</v>
      </c>
      <c r="B40" s="8" t="s">
        <v>161</v>
      </c>
      <c r="C40" s="8" t="s">
        <v>235</v>
      </c>
      <c r="D40" s="8" t="s">
        <v>449</v>
      </c>
      <c r="E40" s="8">
        <v>2</v>
      </c>
      <c r="F40" s="14">
        <v>46214</v>
      </c>
    </row>
    <row r="41" spans="1:6">
      <c r="A41" s="8" t="s">
        <v>510</v>
      </c>
      <c r="B41" s="8" t="s">
        <v>164</v>
      </c>
      <c r="C41" s="8" t="s">
        <v>238</v>
      </c>
      <c r="D41" s="8" t="s">
        <v>449</v>
      </c>
      <c r="E41" s="8">
        <v>2</v>
      </c>
      <c r="F41" s="14">
        <v>46215</v>
      </c>
    </row>
    <row r="42" spans="1:6">
      <c r="A42" s="8" t="s">
        <v>511</v>
      </c>
      <c r="B42" s="8" t="s">
        <v>167</v>
      </c>
      <c r="C42" s="8" t="s">
        <v>214</v>
      </c>
      <c r="D42" s="8" t="s">
        <v>449</v>
      </c>
      <c r="E42" s="8">
        <v>2</v>
      </c>
      <c r="F42" s="14">
        <v>46216</v>
      </c>
    </row>
    <row r="43" spans="1:6">
      <c r="A43" s="8" t="s">
        <v>512</v>
      </c>
      <c r="B43" s="8" t="s">
        <v>170</v>
      </c>
      <c r="C43" s="8" t="s">
        <v>214</v>
      </c>
      <c r="D43" s="8" t="s">
        <v>449</v>
      </c>
      <c r="E43" s="8">
        <v>2</v>
      </c>
      <c r="F43" s="14">
        <v>46217</v>
      </c>
    </row>
    <row r="44" spans="1:6">
      <c r="A44" s="8" t="s">
        <v>513</v>
      </c>
      <c r="B44" s="8" t="s">
        <v>173</v>
      </c>
      <c r="C44" s="8" t="s">
        <v>218</v>
      </c>
      <c r="D44" s="8" t="s">
        <v>449</v>
      </c>
      <c r="E44" s="8">
        <v>2</v>
      </c>
      <c r="F44" s="14">
        <v>46218</v>
      </c>
    </row>
    <row r="45" spans="1:6">
      <c r="A45" s="8" t="s">
        <v>514</v>
      </c>
      <c r="B45" s="8" t="s">
        <v>176</v>
      </c>
      <c r="C45" s="8" t="s">
        <v>222</v>
      </c>
      <c r="D45" s="8" t="s">
        <v>449</v>
      </c>
      <c r="E45" s="8">
        <v>2</v>
      </c>
      <c r="F45" s="14">
        <v>46219</v>
      </c>
    </row>
    <row r="46" spans="1:6">
      <c r="A46" s="8" t="s">
        <v>515</v>
      </c>
      <c r="B46" s="8" t="s">
        <v>179</v>
      </c>
      <c r="C46" s="8" t="s">
        <v>235</v>
      </c>
      <c r="D46" s="8" t="s">
        <v>449</v>
      </c>
      <c r="E46" s="8">
        <v>2</v>
      </c>
      <c r="F46" s="14">
        <v>46220</v>
      </c>
    </row>
    <row r="47" spans="1:6">
      <c r="A47" s="8" t="s">
        <v>516</v>
      </c>
      <c r="B47" s="8" t="s">
        <v>182</v>
      </c>
      <c r="C47" s="8" t="s">
        <v>238</v>
      </c>
      <c r="D47" s="8" t="s">
        <v>449</v>
      </c>
      <c r="E47" s="8">
        <v>2</v>
      </c>
      <c r="F47" s="14">
        <v>46221</v>
      </c>
    </row>
    <row r="48" spans="1:6">
      <c r="A48" s="8" t="s">
        <v>517</v>
      </c>
      <c r="B48" s="8" t="s">
        <v>185</v>
      </c>
      <c r="C48" s="8" t="s">
        <v>218</v>
      </c>
      <c r="D48" s="8" t="s">
        <v>449</v>
      </c>
      <c r="E48" s="8">
        <v>2</v>
      </c>
      <c r="F48" s="14">
        <v>46222</v>
      </c>
    </row>
    <row r="49" spans="1:6">
      <c r="A49" s="8" t="s">
        <v>518</v>
      </c>
      <c r="B49" s="8" t="s">
        <v>188</v>
      </c>
      <c r="C49" s="8" t="s">
        <v>238</v>
      </c>
      <c r="D49" s="8" t="s">
        <v>449</v>
      </c>
      <c r="E49" s="8">
        <v>2</v>
      </c>
      <c r="F49" s="14">
        <v>46223</v>
      </c>
    </row>
    <row r="50" spans="1:6">
      <c r="A50" s="8" t="s">
        <v>519</v>
      </c>
      <c r="B50" s="8" t="s">
        <v>191</v>
      </c>
      <c r="C50" s="8" t="s">
        <v>218</v>
      </c>
      <c r="D50" s="8" t="s">
        <v>449</v>
      </c>
      <c r="E50" s="8">
        <v>2</v>
      </c>
      <c r="F50" s="14">
        <v>46224</v>
      </c>
    </row>
    <row r="51" spans="1:6">
      <c r="A51" s="8" t="s">
        <v>520</v>
      </c>
      <c r="B51" s="8" t="s">
        <v>194</v>
      </c>
      <c r="C51" s="8" t="s">
        <v>222</v>
      </c>
      <c r="D51" s="8" t="s">
        <v>449</v>
      </c>
      <c r="E51" s="8">
        <v>2</v>
      </c>
      <c r="F51" s="14">
        <v>46225</v>
      </c>
    </row>
  </sheetData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opLeftCell="A31" workbookViewId="0">
      <selection activeCell="C1" sqref="C1"/>
    </sheetView>
  </sheetViews>
  <sheetFormatPr defaultColWidth="9" defaultRowHeight="15"/>
  <cols>
    <col min="1" max="1" width="15.2857142857143" customWidth="1"/>
    <col min="2" max="2" width="18" customWidth="1"/>
    <col min="3" max="3" width="17.1428571428571" customWidth="1"/>
    <col min="4" max="4" width="14.8571428571429" customWidth="1"/>
    <col min="5" max="5" width="14.5714285714286" customWidth="1"/>
    <col min="6" max="6" width="13" customWidth="1"/>
    <col min="7" max="7" width="12.5714285714286" customWidth="1"/>
    <col min="8" max="8" width="10.7142857142857" customWidth="1"/>
    <col min="9" max="9" width="11.5714285714286" customWidth="1"/>
    <col min="10" max="10" width="14" customWidth="1"/>
    <col min="11" max="11" width="12.2857142857143" customWidth="1"/>
  </cols>
  <sheetData>
    <row r="1" ht="15.75" spans="1:11">
      <c r="A1" s="7" t="s">
        <v>521</v>
      </c>
      <c r="B1" s="7" t="s">
        <v>253</v>
      </c>
      <c r="C1" s="7" t="s">
        <v>376</v>
      </c>
      <c r="D1" s="7" t="s">
        <v>372</v>
      </c>
      <c r="E1" s="7" t="s">
        <v>443</v>
      </c>
      <c r="F1" s="7" t="s">
        <v>522</v>
      </c>
      <c r="G1" s="7" t="s">
        <v>523</v>
      </c>
      <c r="H1" s="7" t="s">
        <v>524</v>
      </c>
      <c r="I1" s="7" t="s">
        <v>525</v>
      </c>
      <c r="J1" s="7" t="s">
        <v>526</v>
      </c>
      <c r="K1" s="7" t="s">
        <v>257</v>
      </c>
    </row>
    <row r="2" ht="15.75" spans="1:11">
      <c r="A2" s="8" t="s">
        <v>527</v>
      </c>
      <c r="B2" s="8" t="s">
        <v>23</v>
      </c>
      <c r="C2" s="9">
        <v>50</v>
      </c>
      <c r="D2" s="10">
        <v>500</v>
      </c>
      <c r="E2" s="9">
        <v>30</v>
      </c>
      <c r="F2" s="9">
        <v>200</v>
      </c>
      <c r="G2" s="9">
        <v>20</v>
      </c>
      <c r="H2" s="9">
        <f>SUM(C2:G2)</f>
        <v>800</v>
      </c>
      <c r="I2" s="9">
        <v>300</v>
      </c>
      <c r="J2" s="9">
        <f>H2-I2</f>
        <v>500</v>
      </c>
      <c r="K2" s="8" t="s">
        <v>525</v>
      </c>
    </row>
    <row r="3" spans="1:11">
      <c r="A3" s="8" t="s">
        <v>528</v>
      </c>
      <c r="B3" s="8" t="s">
        <v>31</v>
      </c>
      <c r="C3" s="9">
        <v>50</v>
      </c>
      <c r="D3" s="11">
        <v>500</v>
      </c>
      <c r="E3" s="9">
        <v>30</v>
      </c>
      <c r="F3" s="9">
        <v>200</v>
      </c>
      <c r="G3" s="9">
        <v>20</v>
      </c>
      <c r="H3" s="9">
        <f>SUM(C3:G3)</f>
        <v>800</v>
      </c>
      <c r="I3" s="9">
        <v>300</v>
      </c>
      <c r="J3" s="9">
        <f t="shared" ref="J2:J51" si="0">H3-I3</f>
        <v>500</v>
      </c>
      <c r="K3" s="8" t="s">
        <v>525</v>
      </c>
    </row>
    <row r="4" spans="1:11">
      <c r="A4" s="8" t="s">
        <v>529</v>
      </c>
      <c r="B4" s="8" t="s">
        <v>37</v>
      </c>
      <c r="C4" s="9">
        <v>50</v>
      </c>
      <c r="D4" s="12">
        <v>600</v>
      </c>
      <c r="E4" s="9">
        <v>30</v>
      </c>
      <c r="F4" s="9">
        <v>200</v>
      </c>
      <c r="G4" s="9">
        <v>20</v>
      </c>
      <c r="H4" s="9">
        <f>SUM(C4:G4)</f>
        <v>900</v>
      </c>
      <c r="I4" s="9">
        <v>300</v>
      </c>
      <c r="J4" s="9">
        <f t="shared" si="0"/>
        <v>600</v>
      </c>
      <c r="K4" s="8" t="s">
        <v>525</v>
      </c>
    </row>
    <row r="5" spans="1:11">
      <c r="A5" s="8" t="s">
        <v>530</v>
      </c>
      <c r="B5" s="8" t="s">
        <v>42</v>
      </c>
      <c r="C5" s="9">
        <v>50</v>
      </c>
      <c r="D5" s="11">
        <v>1000</v>
      </c>
      <c r="E5" s="9">
        <v>30</v>
      </c>
      <c r="F5" s="9">
        <v>200</v>
      </c>
      <c r="G5" s="9">
        <v>20</v>
      </c>
      <c r="H5" s="9">
        <f>SUM(C5:G5)</f>
        <v>1300</v>
      </c>
      <c r="I5" s="9">
        <v>300</v>
      </c>
      <c r="J5" s="9">
        <f t="shared" si="0"/>
        <v>1000</v>
      </c>
      <c r="K5" s="8" t="s">
        <v>525</v>
      </c>
    </row>
    <row r="6" spans="1:11">
      <c r="A6" s="8" t="s">
        <v>531</v>
      </c>
      <c r="B6" s="8" t="s">
        <v>47</v>
      </c>
      <c r="C6" s="9">
        <v>50</v>
      </c>
      <c r="D6" s="12">
        <v>400</v>
      </c>
      <c r="E6" s="9">
        <v>30</v>
      </c>
      <c r="F6" s="9">
        <v>200</v>
      </c>
      <c r="G6" s="9">
        <v>20</v>
      </c>
      <c r="H6" s="9">
        <f t="shared" ref="H6:H51" si="1">SUM(C6:G6)</f>
        <v>700</v>
      </c>
      <c r="I6" s="9">
        <v>300</v>
      </c>
      <c r="J6" s="9">
        <f t="shared" si="0"/>
        <v>400</v>
      </c>
      <c r="K6" s="8" t="s">
        <v>525</v>
      </c>
    </row>
    <row r="7" spans="1:11">
      <c r="A7" s="8" t="s">
        <v>532</v>
      </c>
      <c r="B7" s="8" t="s">
        <v>52</v>
      </c>
      <c r="C7" s="9">
        <v>50</v>
      </c>
      <c r="D7" s="11">
        <v>300</v>
      </c>
      <c r="E7" s="9">
        <v>30</v>
      </c>
      <c r="F7" s="9">
        <v>200</v>
      </c>
      <c r="G7" s="9">
        <v>20</v>
      </c>
      <c r="H7" s="9">
        <f t="shared" si="1"/>
        <v>600</v>
      </c>
      <c r="I7" s="9">
        <v>300</v>
      </c>
      <c r="J7" s="9">
        <f t="shared" si="0"/>
        <v>300</v>
      </c>
      <c r="K7" s="8" t="s">
        <v>525</v>
      </c>
    </row>
    <row r="8" spans="1:11">
      <c r="A8" s="8" t="s">
        <v>533</v>
      </c>
      <c r="B8" s="8" t="s">
        <v>57</v>
      </c>
      <c r="C8" s="9">
        <v>50</v>
      </c>
      <c r="D8" s="12">
        <v>800</v>
      </c>
      <c r="E8" s="9">
        <v>30</v>
      </c>
      <c r="F8" s="9">
        <v>200</v>
      </c>
      <c r="G8" s="9">
        <v>20</v>
      </c>
      <c r="H8" s="9">
        <f t="shared" si="1"/>
        <v>1100</v>
      </c>
      <c r="I8" s="9">
        <v>300</v>
      </c>
      <c r="J8" s="9">
        <f t="shared" si="0"/>
        <v>800</v>
      </c>
      <c r="K8" s="8" t="s">
        <v>525</v>
      </c>
    </row>
    <row r="9" spans="1:11">
      <c r="A9" s="8" t="s">
        <v>534</v>
      </c>
      <c r="B9" s="8" t="s">
        <v>62</v>
      </c>
      <c r="C9" s="9">
        <v>50</v>
      </c>
      <c r="D9" s="11">
        <v>900</v>
      </c>
      <c r="E9" s="9">
        <v>30</v>
      </c>
      <c r="F9" s="9">
        <v>200</v>
      </c>
      <c r="G9" s="9">
        <v>20</v>
      </c>
      <c r="H9" s="9">
        <f t="shared" si="1"/>
        <v>1200</v>
      </c>
      <c r="I9" s="9">
        <v>300</v>
      </c>
      <c r="J9" s="9">
        <f t="shared" si="0"/>
        <v>900</v>
      </c>
      <c r="K9" s="8" t="s">
        <v>525</v>
      </c>
    </row>
    <row r="10" spans="1:11">
      <c r="A10" s="8" t="s">
        <v>535</v>
      </c>
      <c r="B10" s="8" t="s">
        <v>67</v>
      </c>
      <c r="C10" s="9">
        <v>50</v>
      </c>
      <c r="D10" s="12">
        <v>200</v>
      </c>
      <c r="E10" s="9">
        <v>30</v>
      </c>
      <c r="F10" s="9">
        <v>200</v>
      </c>
      <c r="G10" s="9">
        <v>20</v>
      </c>
      <c r="H10" s="9">
        <f t="shared" si="1"/>
        <v>500</v>
      </c>
      <c r="I10" s="9">
        <v>300</v>
      </c>
      <c r="J10" s="9">
        <f t="shared" si="0"/>
        <v>200</v>
      </c>
      <c r="K10" s="8" t="s">
        <v>525</v>
      </c>
    </row>
    <row r="11" spans="1:11">
      <c r="A11" s="8" t="s">
        <v>536</v>
      </c>
      <c r="B11" s="8" t="s">
        <v>72</v>
      </c>
      <c r="C11" s="9">
        <v>50</v>
      </c>
      <c r="D11" s="11">
        <v>200</v>
      </c>
      <c r="E11" s="9">
        <v>30</v>
      </c>
      <c r="F11" s="9">
        <v>200</v>
      </c>
      <c r="G11" s="9">
        <v>20</v>
      </c>
      <c r="H11" s="9">
        <f t="shared" si="1"/>
        <v>500</v>
      </c>
      <c r="I11" s="9">
        <v>300</v>
      </c>
      <c r="J11" s="9">
        <f t="shared" si="0"/>
        <v>200</v>
      </c>
      <c r="K11" s="8" t="s">
        <v>525</v>
      </c>
    </row>
    <row r="12" spans="1:11">
      <c r="A12" s="8" t="s">
        <v>537</v>
      </c>
      <c r="B12" s="8" t="s">
        <v>77</v>
      </c>
      <c r="C12" s="9">
        <v>50</v>
      </c>
      <c r="D12" s="12">
        <v>700</v>
      </c>
      <c r="E12" s="9">
        <v>30</v>
      </c>
      <c r="F12" s="9">
        <v>200</v>
      </c>
      <c r="G12" s="9">
        <v>20</v>
      </c>
      <c r="H12" s="9">
        <f t="shared" si="1"/>
        <v>1000</v>
      </c>
      <c r="I12" s="9">
        <v>300</v>
      </c>
      <c r="J12" s="9">
        <f t="shared" si="0"/>
        <v>700</v>
      </c>
      <c r="K12" s="8" t="s">
        <v>525</v>
      </c>
    </row>
    <row r="13" spans="1:11">
      <c r="A13" s="8" t="s">
        <v>538</v>
      </c>
      <c r="B13" s="8" t="s">
        <v>80</v>
      </c>
      <c r="C13" s="9">
        <v>50</v>
      </c>
      <c r="D13" s="11">
        <v>600</v>
      </c>
      <c r="E13" s="9">
        <v>30</v>
      </c>
      <c r="F13" s="9">
        <v>200</v>
      </c>
      <c r="G13" s="9">
        <v>20</v>
      </c>
      <c r="H13" s="9">
        <f t="shared" si="1"/>
        <v>900</v>
      </c>
      <c r="I13" s="9">
        <v>300</v>
      </c>
      <c r="J13" s="9">
        <f t="shared" si="0"/>
        <v>600</v>
      </c>
      <c r="K13" s="8" t="s">
        <v>525</v>
      </c>
    </row>
    <row r="14" spans="1:11">
      <c r="A14" s="8" t="s">
        <v>539</v>
      </c>
      <c r="B14" s="8" t="s">
        <v>83</v>
      </c>
      <c r="C14" s="9">
        <v>50</v>
      </c>
      <c r="D14" s="12">
        <v>1200</v>
      </c>
      <c r="E14" s="9">
        <v>30</v>
      </c>
      <c r="F14" s="9">
        <v>200</v>
      </c>
      <c r="G14" s="9">
        <v>20</v>
      </c>
      <c r="H14" s="9">
        <f t="shared" si="1"/>
        <v>1500</v>
      </c>
      <c r="I14" s="9">
        <v>300</v>
      </c>
      <c r="J14" s="9">
        <f t="shared" si="0"/>
        <v>1200</v>
      </c>
      <c r="K14" s="8" t="s">
        <v>525</v>
      </c>
    </row>
    <row r="15" spans="1:11">
      <c r="A15" s="8" t="s">
        <v>540</v>
      </c>
      <c r="B15" s="8" t="s">
        <v>86</v>
      </c>
      <c r="C15" s="9">
        <v>50</v>
      </c>
      <c r="D15" s="11">
        <v>500</v>
      </c>
      <c r="E15" s="9">
        <v>30</v>
      </c>
      <c r="F15" s="9">
        <v>200</v>
      </c>
      <c r="G15" s="9">
        <v>20</v>
      </c>
      <c r="H15" s="9">
        <f t="shared" si="1"/>
        <v>800</v>
      </c>
      <c r="I15" s="9">
        <v>300</v>
      </c>
      <c r="J15" s="9">
        <f t="shared" si="0"/>
        <v>500</v>
      </c>
      <c r="K15" s="8" t="s">
        <v>525</v>
      </c>
    </row>
    <row r="16" spans="1:11">
      <c r="A16" s="8" t="s">
        <v>541</v>
      </c>
      <c r="B16" s="8" t="s">
        <v>89</v>
      </c>
      <c r="C16" s="9">
        <v>50</v>
      </c>
      <c r="D16" s="12">
        <v>350</v>
      </c>
      <c r="E16" s="9">
        <v>30</v>
      </c>
      <c r="F16" s="9">
        <v>200</v>
      </c>
      <c r="G16" s="9">
        <v>20</v>
      </c>
      <c r="H16" s="9">
        <f t="shared" si="1"/>
        <v>650</v>
      </c>
      <c r="I16" s="9">
        <v>300</v>
      </c>
      <c r="J16" s="9">
        <f t="shared" si="0"/>
        <v>350</v>
      </c>
      <c r="K16" s="8" t="s">
        <v>525</v>
      </c>
    </row>
    <row r="17" spans="1:11">
      <c r="A17" s="8" t="s">
        <v>542</v>
      </c>
      <c r="B17" s="8" t="s">
        <v>92</v>
      </c>
      <c r="C17" s="9">
        <v>50</v>
      </c>
      <c r="D17" s="11">
        <v>700</v>
      </c>
      <c r="E17" s="9">
        <v>40</v>
      </c>
      <c r="F17" s="9">
        <v>200</v>
      </c>
      <c r="G17" s="9">
        <v>20</v>
      </c>
      <c r="H17" s="9">
        <f t="shared" si="1"/>
        <v>1010</v>
      </c>
      <c r="I17" s="9">
        <v>300</v>
      </c>
      <c r="J17" s="9">
        <f t="shared" si="0"/>
        <v>710</v>
      </c>
      <c r="K17" s="8" t="s">
        <v>525</v>
      </c>
    </row>
    <row r="18" spans="1:11">
      <c r="A18" s="8" t="s">
        <v>543</v>
      </c>
      <c r="B18" s="8" t="s">
        <v>95</v>
      </c>
      <c r="C18" s="9">
        <v>50</v>
      </c>
      <c r="D18" s="12">
        <v>860</v>
      </c>
      <c r="E18" s="9">
        <v>40</v>
      </c>
      <c r="F18" s="9">
        <v>200</v>
      </c>
      <c r="G18" s="9">
        <v>20</v>
      </c>
      <c r="H18" s="9">
        <f t="shared" si="1"/>
        <v>1170</v>
      </c>
      <c r="I18" s="9">
        <v>300</v>
      </c>
      <c r="J18" s="9">
        <f t="shared" si="0"/>
        <v>870</v>
      </c>
      <c r="K18" s="8" t="s">
        <v>525</v>
      </c>
    </row>
    <row r="19" spans="1:11">
      <c r="A19" s="8" t="s">
        <v>544</v>
      </c>
      <c r="B19" s="8" t="s">
        <v>98</v>
      </c>
      <c r="C19" s="9">
        <v>50</v>
      </c>
      <c r="D19" s="11">
        <v>200</v>
      </c>
      <c r="E19" s="9">
        <v>40</v>
      </c>
      <c r="F19" s="9">
        <v>200</v>
      </c>
      <c r="G19" s="9">
        <v>20</v>
      </c>
      <c r="H19" s="9">
        <f t="shared" si="1"/>
        <v>510</v>
      </c>
      <c r="I19" s="9">
        <v>300</v>
      </c>
      <c r="J19" s="9">
        <f t="shared" si="0"/>
        <v>210</v>
      </c>
      <c r="K19" s="8" t="s">
        <v>525</v>
      </c>
    </row>
    <row r="20" spans="1:11">
      <c r="A20" s="8" t="s">
        <v>545</v>
      </c>
      <c r="B20" s="8" t="s">
        <v>101</v>
      </c>
      <c r="C20" s="9">
        <v>50</v>
      </c>
      <c r="D20" s="12">
        <v>200</v>
      </c>
      <c r="E20" s="9">
        <v>40</v>
      </c>
      <c r="F20" s="9">
        <v>200</v>
      </c>
      <c r="G20" s="9">
        <v>20</v>
      </c>
      <c r="H20" s="9">
        <f t="shared" si="1"/>
        <v>510</v>
      </c>
      <c r="I20" s="9">
        <v>300</v>
      </c>
      <c r="J20" s="9">
        <f t="shared" si="0"/>
        <v>210</v>
      </c>
      <c r="K20" s="8" t="s">
        <v>525</v>
      </c>
    </row>
    <row r="21" spans="1:11">
      <c r="A21" s="8" t="s">
        <v>546</v>
      </c>
      <c r="B21" s="8" t="s">
        <v>104</v>
      </c>
      <c r="C21" s="9">
        <v>50</v>
      </c>
      <c r="D21" s="11">
        <v>2000</v>
      </c>
      <c r="E21" s="9">
        <v>40</v>
      </c>
      <c r="F21" s="9">
        <v>200</v>
      </c>
      <c r="G21" s="9">
        <v>20</v>
      </c>
      <c r="H21" s="9">
        <f t="shared" si="1"/>
        <v>2310</v>
      </c>
      <c r="I21" s="9">
        <v>300</v>
      </c>
      <c r="J21" s="9">
        <f t="shared" si="0"/>
        <v>2010</v>
      </c>
      <c r="K21" s="8" t="s">
        <v>525</v>
      </c>
    </row>
    <row r="22" spans="1:11">
      <c r="A22" s="8" t="s">
        <v>547</v>
      </c>
      <c r="B22" s="8" t="s">
        <v>107</v>
      </c>
      <c r="C22" s="9">
        <v>50</v>
      </c>
      <c r="D22" s="12">
        <v>400</v>
      </c>
      <c r="E22" s="9">
        <v>40</v>
      </c>
      <c r="F22" s="9">
        <v>200</v>
      </c>
      <c r="G22" s="9">
        <v>20</v>
      </c>
      <c r="H22" s="9">
        <f t="shared" si="1"/>
        <v>710</v>
      </c>
      <c r="I22" s="9">
        <v>300</v>
      </c>
      <c r="J22" s="9">
        <f t="shared" si="0"/>
        <v>410</v>
      </c>
      <c r="K22" s="8" t="s">
        <v>525</v>
      </c>
    </row>
    <row r="23" spans="1:11">
      <c r="A23" s="8" t="s">
        <v>548</v>
      </c>
      <c r="B23" s="8" t="s">
        <v>110</v>
      </c>
      <c r="C23" s="9">
        <v>50</v>
      </c>
      <c r="D23" s="11">
        <v>340</v>
      </c>
      <c r="E23" s="9">
        <v>40</v>
      </c>
      <c r="F23" s="9">
        <v>200</v>
      </c>
      <c r="G23" s="9">
        <v>20</v>
      </c>
      <c r="H23" s="9">
        <f t="shared" si="1"/>
        <v>650</v>
      </c>
      <c r="I23" s="9">
        <v>300</v>
      </c>
      <c r="J23" s="9">
        <f t="shared" si="0"/>
        <v>350</v>
      </c>
      <c r="K23" s="8" t="s">
        <v>525</v>
      </c>
    </row>
    <row r="24" spans="1:11">
      <c r="A24" s="8" t="s">
        <v>549</v>
      </c>
      <c r="B24" s="8" t="s">
        <v>113</v>
      </c>
      <c r="C24" s="9">
        <v>50</v>
      </c>
      <c r="D24" s="12">
        <v>200</v>
      </c>
      <c r="E24" s="9">
        <v>40</v>
      </c>
      <c r="F24" s="9">
        <v>200</v>
      </c>
      <c r="G24" s="9">
        <v>20</v>
      </c>
      <c r="H24" s="9">
        <f t="shared" si="1"/>
        <v>510</v>
      </c>
      <c r="I24" s="9">
        <v>300</v>
      </c>
      <c r="J24" s="9">
        <f t="shared" si="0"/>
        <v>210</v>
      </c>
      <c r="K24" s="8" t="s">
        <v>525</v>
      </c>
    </row>
    <row r="25" spans="1:11">
      <c r="A25" s="8" t="s">
        <v>550</v>
      </c>
      <c r="B25" s="8" t="s">
        <v>116</v>
      </c>
      <c r="C25" s="9">
        <v>50</v>
      </c>
      <c r="D25" s="11">
        <v>860</v>
      </c>
      <c r="E25" s="9">
        <v>40</v>
      </c>
      <c r="F25" s="9">
        <v>200</v>
      </c>
      <c r="G25" s="9">
        <v>20</v>
      </c>
      <c r="H25" s="9">
        <f t="shared" si="1"/>
        <v>1170</v>
      </c>
      <c r="I25" s="9">
        <v>300</v>
      </c>
      <c r="J25" s="9">
        <f t="shared" si="0"/>
        <v>870</v>
      </c>
      <c r="K25" s="8" t="s">
        <v>525</v>
      </c>
    </row>
    <row r="26" spans="1:11">
      <c r="A26" s="8" t="s">
        <v>551</v>
      </c>
      <c r="B26" s="8" t="s">
        <v>119</v>
      </c>
      <c r="C26" s="9">
        <v>50</v>
      </c>
      <c r="D26" s="12">
        <v>400</v>
      </c>
      <c r="E26" s="9">
        <v>40</v>
      </c>
      <c r="F26" s="9">
        <v>200</v>
      </c>
      <c r="G26" s="9">
        <v>20</v>
      </c>
      <c r="H26" s="9">
        <f t="shared" si="1"/>
        <v>710</v>
      </c>
      <c r="I26" s="9">
        <v>300</v>
      </c>
      <c r="J26" s="9">
        <f t="shared" si="0"/>
        <v>410</v>
      </c>
      <c r="K26" s="8" t="s">
        <v>525</v>
      </c>
    </row>
    <row r="27" spans="1:11">
      <c r="A27" s="8" t="s">
        <v>552</v>
      </c>
      <c r="B27" s="8" t="s">
        <v>122</v>
      </c>
      <c r="C27" s="9">
        <v>50</v>
      </c>
      <c r="D27" s="11">
        <v>1600</v>
      </c>
      <c r="E27" s="9">
        <v>40</v>
      </c>
      <c r="F27" s="9">
        <v>200</v>
      </c>
      <c r="G27" s="9">
        <v>20</v>
      </c>
      <c r="H27" s="9">
        <f t="shared" si="1"/>
        <v>1910</v>
      </c>
      <c r="I27" s="9">
        <v>300</v>
      </c>
      <c r="J27" s="9">
        <f t="shared" si="0"/>
        <v>1610</v>
      </c>
      <c r="K27" s="8" t="s">
        <v>525</v>
      </c>
    </row>
    <row r="28" spans="1:11">
      <c r="A28" s="8" t="s">
        <v>553</v>
      </c>
      <c r="B28" s="8" t="s">
        <v>125</v>
      </c>
      <c r="C28" s="9">
        <v>50</v>
      </c>
      <c r="D28" s="12">
        <v>227</v>
      </c>
      <c r="E28" s="9">
        <v>40</v>
      </c>
      <c r="F28" s="9">
        <v>200</v>
      </c>
      <c r="G28" s="9">
        <v>20</v>
      </c>
      <c r="H28" s="9">
        <f t="shared" si="1"/>
        <v>537</v>
      </c>
      <c r="I28" s="9">
        <v>300</v>
      </c>
      <c r="J28" s="9">
        <f t="shared" si="0"/>
        <v>237</v>
      </c>
      <c r="K28" s="8" t="s">
        <v>525</v>
      </c>
    </row>
    <row r="29" spans="1:11">
      <c r="A29" s="8" t="s">
        <v>554</v>
      </c>
      <c r="B29" s="8" t="s">
        <v>128</v>
      </c>
      <c r="C29" s="9">
        <v>50</v>
      </c>
      <c r="D29" s="11">
        <v>228</v>
      </c>
      <c r="E29" s="9">
        <v>40</v>
      </c>
      <c r="F29" s="9">
        <v>200</v>
      </c>
      <c r="G29" s="9">
        <v>20</v>
      </c>
      <c r="H29" s="9">
        <f t="shared" si="1"/>
        <v>538</v>
      </c>
      <c r="I29" s="9">
        <v>300</v>
      </c>
      <c r="J29" s="9">
        <f t="shared" si="0"/>
        <v>238</v>
      </c>
      <c r="K29" s="8" t="s">
        <v>525</v>
      </c>
    </row>
    <row r="30" spans="1:11">
      <c r="A30" s="8" t="s">
        <v>555</v>
      </c>
      <c r="B30" s="8" t="s">
        <v>131</v>
      </c>
      <c r="C30" s="9">
        <v>50</v>
      </c>
      <c r="D30" s="12">
        <v>800</v>
      </c>
      <c r="E30" s="9">
        <v>40</v>
      </c>
      <c r="F30" s="9">
        <v>200</v>
      </c>
      <c r="G30" s="9">
        <v>20</v>
      </c>
      <c r="H30" s="9">
        <f t="shared" si="1"/>
        <v>1110</v>
      </c>
      <c r="I30" s="9">
        <v>300</v>
      </c>
      <c r="J30" s="9">
        <f t="shared" si="0"/>
        <v>810</v>
      </c>
      <c r="K30" s="8" t="s">
        <v>525</v>
      </c>
    </row>
    <row r="31" spans="1:11">
      <c r="A31" s="8" t="s">
        <v>556</v>
      </c>
      <c r="B31" s="8" t="s">
        <v>134</v>
      </c>
      <c r="C31" s="9">
        <v>50</v>
      </c>
      <c r="D31" s="11">
        <v>600</v>
      </c>
      <c r="E31" s="9">
        <v>40</v>
      </c>
      <c r="F31" s="9">
        <v>200</v>
      </c>
      <c r="G31" s="9">
        <v>20</v>
      </c>
      <c r="H31" s="9">
        <f t="shared" si="1"/>
        <v>910</v>
      </c>
      <c r="I31" s="9">
        <v>300</v>
      </c>
      <c r="J31" s="9">
        <f t="shared" si="0"/>
        <v>610</v>
      </c>
      <c r="K31" s="8" t="s">
        <v>525</v>
      </c>
    </row>
    <row r="32" spans="1:11">
      <c r="A32" s="8" t="s">
        <v>557</v>
      </c>
      <c r="B32" s="8" t="s">
        <v>137</v>
      </c>
      <c r="C32" s="9">
        <v>50</v>
      </c>
      <c r="D32" s="12">
        <v>231</v>
      </c>
      <c r="E32" s="9">
        <v>40</v>
      </c>
      <c r="F32" s="9">
        <v>200</v>
      </c>
      <c r="G32" s="9">
        <v>20</v>
      </c>
      <c r="H32" s="9">
        <f t="shared" si="1"/>
        <v>541</v>
      </c>
      <c r="I32" s="9">
        <v>300</v>
      </c>
      <c r="J32" s="9">
        <f t="shared" si="0"/>
        <v>241</v>
      </c>
      <c r="K32" s="8" t="s">
        <v>525</v>
      </c>
    </row>
    <row r="33" spans="1:11">
      <c r="A33" s="8" t="s">
        <v>558</v>
      </c>
      <c r="B33" s="8" t="s">
        <v>140</v>
      </c>
      <c r="C33" s="9">
        <v>50</v>
      </c>
      <c r="D33" s="11">
        <v>232</v>
      </c>
      <c r="E33" s="9">
        <v>40</v>
      </c>
      <c r="F33" s="9">
        <v>200</v>
      </c>
      <c r="G33" s="9">
        <v>20</v>
      </c>
      <c r="H33" s="9">
        <f t="shared" si="1"/>
        <v>542</v>
      </c>
      <c r="I33" s="9">
        <v>300</v>
      </c>
      <c r="J33" s="9">
        <f t="shared" si="0"/>
        <v>242</v>
      </c>
      <c r="K33" s="8" t="s">
        <v>525</v>
      </c>
    </row>
    <row r="34" spans="1:11">
      <c r="A34" s="8" t="s">
        <v>559</v>
      </c>
      <c r="B34" s="8" t="s">
        <v>143</v>
      </c>
      <c r="C34" s="9">
        <v>50</v>
      </c>
      <c r="D34" s="12">
        <v>500</v>
      </c>
      <c r="E34" s="9">
        <v>40</v>
      </c>
      <c r="F34" s="9">
        <v>200</v>
      </c>
      <c r="G34" s="9">
        <v>20</v>
      </c>
      <c r="H34" s="9">
        <f t="shared" si="1"/>
        <v>810</v>
      </c>
      <c r="I34" s="9">
        <v>300</v>
      </c>
      <c r="J34" s="9">
        <f t="shared" si="0"/>
        <v>510</v>
      </c>
      <c r="K34" s="8" t="s">
        <v>525</v>
      </c>
    </row>
    <row r="35" spans="1:11">
      <c r="A35" s="8" t="s">
        <v>560</v>
      </c>
      <c r="B35" s="8" t="s">
        <v>146</v>
      </c>
      <c r="C35" s="9">
        <v>50</v>
      </c>
      <c r="D35" s="11">
        <v>350</v>
      </c>
      <c r="E35" s="9">
        <v>40</v>
      </c>
      <c r="F35" s="9">
        <v>200</v>
      </c>
      <c r="G35" s="9">
        <v>20</v>
      </c>
      <c r="H35" s="9">
        <f t="shared" si="1"/>
        <v>660</v>
      </c>
      <c r="I35" s="9">
        <v>300</v>
      </c>
      <c r="J35" s="9">
        <f t="shared" si="0"/>
        <v>360</v>
      </c>
      <c r="K35" s="8" t="s">
        <v>525</v>
      </c>
    </row>
    <row r="36" spans="1:11">
      <c r="A36" s="8" t="s">
        <v>561</v>
      </c>
      <c r="B36" s="8" t="s">
        <v>149</v>
      </c>
      <c r="C36" s="9">
        <v>50</v>
      </c>
      <c r="D36" s="12">
        <v>1000</v>
      </c>
      <c r="E36" s="9">
        <v>40</v>
      </c>
      <c r="F36" s="9">
        <v>200</v>
      </c>
      <c r="G36" s="9">
        <v>20</v>
      </c>
      <c r="H36" s="9">
        <f t="shared" si="1"/>
        <v>1310</v>
      </c>
      <c r="I36" s="9">
        <v>300</v>
      </c>
      <c r="J36" s="9">
        <f t="shared" si="0"/>
        <v>1010</v>
      </c>
      <c r="K36" s="8" t="s">
        <v>525</v>
      </c>
    </row>
    <row r="37" spans="1:11">
      <c r="A37" s="8" t="s">
        <v>562</v>
      </c>
      <c r="B37" s="8" t="s">
        <v>152</v>
      </c>
      <c r="C37" s="9">
        <v>50</v>
      </c>
      <c r="D37" s="11">
        <v>300</v>
      </c>
      <c r="E37" s="9">
        <v>50</v>
      </c>
      <c r="F37" s="9">
        <v>200</v>
      </c>
      <c r="G37" s="9">
        <v>20</v>
      </c>
      <c r="H37" s="9">
        <f t="shared" si="1"/>
        <v>620</v>
      </c>
      <c r="I37" s="9">
        <v>300</v>
      </c>
      <c r="J37" s="9">
        <f t="shared" si="0"/>
        <v>320</v>
      </c>
      <c r="K37" s="8" t="s">
        <v>525</v>
      </c>
    </row>
    <row r="38" spans="1:11">
      <c r="A38" s="8" t="s">
        <v>563</v>
      </c>
      <c r="B38" s="8" t="s">
        <v>155</v>
      </c>
      <c r="C38" s="9">
        <v>50</v>
      </c>
      <c r="D38" s="12">
        <v>300</v>
      </c>
      <c r="E38" s="9">
        <v>50</v>
      </c>
      <c r="F38" s="9">
        <v>200</v>
      </c>
      <c r="G38" s="9">
        <v>20</v>
      </c>
      <c r="H38" s="9">
        <f t="shared" si="1"/>
        <v>620</v>
      </c>
      <c r="I38" s="9">
        <v>300</v>
      </c>
      <c r="J38" s="9">
        <f t="shared" si="0"/>
        <v>320</v>
      </c>
      <c r="K38" s="8" t="s">
        <v>525</v>
      </c>
    </row>
    <row r="39" spans="1:11">
      <c r="A39" s="8" t="s">
        <v>564</v>
      </c>
      <c r="B39" s="8" t="s">
        <v>158</v>
      </c>
      <c r="C39" s="9">
        <v>50</v>
      </c>
      <c r="D39" s="11">
        <v>900</v>
      </c>
      <c r="E39" s="9">
        <v>50</v>
      </c>
      <c r="F39" s="9">
        <v>200</v>
      </c>
      <c r="G39" s="9">
        <v>20</v>
      </c>
      <c r="H39" s="9">
        <f t="shared" si="1"/>
        <v>1220</v>
      </c>
      <c r="I39" s="9">
        <v>300</v>
      </c>
      <c r="J39" s="9">
        <f t="shared" si="0"/>
        <v>920</v>
      </c>
      <c r="K39" s="8" t="s">
        <v>525</v>
      </c>
    </row>
    <row r="40" spans="1:11">
      <c r="A40" s="8" t="s">
        <v>565</v>
      </c>
      <c r="B40" s="8" t="s">
        <v>161</v>
      </c>
      <c r="C40" s="9">
        <v>50</v>
      </c>
      <c r="D40" s="12">
        <v>850</v>
      </c>
      <c r="E40" s="9">
        <v>50</v>
      </c>
      <c r="F40" s="9">
        <v>200</v>
      </c>
      <c r="G40" s="9">
        <v>20</v>
      </c>
      <c r="H40" s="9">
        <f t="shared" si="1"/>
        <v>1170</v>
      </c>
      <c r="I40" s="9">
        <v>300</v>
      </c>
      <c r="J40" s="9">
        <f t="shared" si="0"/>
        <v>870</v>
      </c>
      <c r="K40" s="8" t="s">
        <v>525</v>
      </c>
    </row>
    <row r="41" spans="1:11">
      <c r="A41" s="8" t="s">
        <v>566</v>
      </c>
      <c r="B41" s="8" t="s">
        <v>164</v>
      </c>
      <c r="C41" s="9">
        <v>50</v>
      </c>
      <c r="D41" s="11">
        <v>750</v>
      </c>
      <c r="E41" s="9">
        <v>50</v>
      </c>
      <c r="F41" s="9">
        <v>200</v>
      </c>
      <c r="G41" s="9">
        <v>20</v>
      </c>
      <c r="H41" s="9">
        <f t="shared" si="1"/>
        <v>1070</v>
      </c>
      <c r="I41" s="9">
        <v>300</v>
      </c>
      <c r="J41" s="9">
        <f t="shared" si="0"/>
        <v>770</v>
      </c>
      <c r="K41" s="8" t="s">
        <v>525</v>
      </c>
    </row>
    <row r="42" spans="1:11">
      <c r="A42" s="8" t="s">
        <v>567</v>
      </c>
      <c r="B42" s="8" t="s">
        <v>167</v>
      </c>
      <c r="C42" s="9">
        <v>50</v>
      </c>
      <c r="D42" s="12">
        <v>400</v>
      </c>
      <c r="E42" s="9">
        <v>50</v>
      </c>
      <c r="F42" s="9">
        <v>200</v>
      </c>
      <c r="G42" s="9">
        <v>20</v>
      </c>
      <c r="H42" s="9">
        <f t="shared" si="1"/>
        <v>720</v>
      </c>
      <c r="I42" s="9">
        <v>300</v>
      </c>
      <c r="J42" s="9">
        <f t="shared" si="0"/>
        <v>420</v>
      </c>
      <c r="K42" s="8" t="s">
        <v>525</v>
      </c>
    </row>
    <row r="43" spans="1:11">
      <c r="A43" s="8" t="s">
        <v>568</v>
      </c>
      <c r="B43" s="8" t="s">
        <v>170</v>
      </c>
      <c r="C43" s="9">
        <v>50</v>
      </c>
      <c r="D43" s="11">
        <v>1200</v>
      </c>
      <c r="E43" s="9">
        <v>50</v>
      </c>
      <c r="F43" s="9">
        <v>200</v>
      </c>
      <c r="G43" s="9">
        <v>20</v>
      </c>
      <c r="H43" s="9">
        <f t="shared" si="1"/>
        <v>1520</v>
      </c>
      <c r="I43" s="9">
        <v>300</v>
      </c>
      <c r="J43" s="9">
        <f t="shared" si="0"/>
        <v>1220</v>
      </c>
      <c r="K43" s="8" t="s">
        <v>525</v>
      </c>
    </row>
    <row r="44" spans="1:11">
      <c r="A44" s="8" t="s">
        <v>569</v>
      </c>
      <c r="B44" s="8" t="s">
        <v>173</v>
      </c>
      <c r="C44" s="9">
        <v>50</v>
      </c>
      <c r="D44" s="12">
        <v>243</v>
      </c>
      <c r="E44" s="9">
        <v>50</v>
      </c>
      <c r="F44" s="9">
        <v>200</v>
      </c>
      <c r="G44" s="9">
        <v>20</v>
      </c>
      <c r="H44" s="9">
        <f t="shared" si="1"/>
        <v>563</v>
      </c>
      <c r="I44" s="9">
        <v>300</v>
      </c>
      <c r="J44" s="9">
        <f t="shared" si="0"/>
        <v>263</v>
      </c>
      <c r="K44" s="8" t="s">
        <v>525</v>
      </c>
    </row>
    <row r="45" spans="1:11">
      <c r="A45" s="8" t="s">
        <v>570</v>
      </c>
      <c r="B45" s="8" t="s">
        <v>176</v>
      </c>
      <c r="C45" s="9">
        <v>50</v>
      </c>
      <c r="D45" s="11">
        <v>244</v>
      </c>
      <c r="E45" s="9">
        <v>50</v>
      </c>
      <c r="F45" s="9">
        <v>200</v>
      </c>
      <c r="G45" s="9">
        <v>20</v>
      </c>
      <c r="H45" s="9">
        <f t="shared" si="1"/>
        <v>564</v>
      </c>
      <c r="I45" s="9">
        <v>300</v>
      </c>
      <c r="J45" s="9">
        <f t="shared" si="0"/>
        <v>264</v>
      </c>
      <c r="K45" s="8" t="s">
        <v>525</v>
      </c>
    </row>
    <row r="46" spans="1:11">
      <c r="A46" s="8" t="s">
        <v>571</v>
      </c>
      <c r="B46" s="8" t="s">
        <v>179</v>
      </c>
      <c r="C46" s="9">
        <v>50</v>
      </c>
      <c r="D46" s="12">
        <v>340</v>
      </c>
      <c r="E46" s="9">
        <v>50</v>
      </c>
      <c r="F46" s="9">
        <v>200</v>
      </c>
      <c r="G46" s="9">
        <v>20</v>
      </c>
      <c r="H46" s="9">
        <f t="shared" si="1"/>
        <v>660</v>
      </c>
      <c r="I46" s="9">
        <v>300</v>
      </c>
      <c r="J46" s="9">
        <f t="shared" si="0"/>
        <v>360</v>
      </c>
      <c r="K46" s="8" t="s">
        <v>525</v>
      </c>
    </row>
    <row r="47" spans="1:11">
      <c r="A47" s="8" t="s">
        <v>572</v>
      </c>
      <c r="B47" s="8" t="s">
        <v>182</v>
      </c>
      <c r="C47" s="9">
        <v>50</v>
      </c>
      <c r="D47" s="11">
        <v>1350</v>
      </c>
      <c r="E47" s="9">
        <v>50</v>
      </c>
      <c r="F47" s="9">
        <v>200</v>
      </c>
      <c r="G47" s="9">
        <v>20</v>
      </c>
      <c r="H47" s="9">
        <f t="shared" si="1"/>
        <v>1670</v>
      </c>
      <c r="I47" s="9">
        <v>300</v>
      </c>
      <c r="J47" s="9">
        <f t="shared" si="0"/>
        <v>1370</v>
      </c>
      <c r="K47" s="8" t="s">
        <v>525</v>
      </c>
    </row>
    <row r="48" spans="1:11">
      <c r="A48" s="8" t="s">
        <v>573</v>
      </c>
      <c r="B48" s="8" t="s">
        <v>185</v>
      </c>
      <c r="C48" s="9">
        <v>50</v>
      </c>
      <c r="D48" s="12">
        <v>400</v>
      </c>
      <c r="E48" s="9">
        <v>50</v>
      </c>
      <c r="F48" s="9">
        <v>200</v>
      </c>
      <c r="G48" s="9">
        <v>20</v>
      </c>
      <c r="H48" s="9">
        <f t="shared" si="1"/>
        <v>720</v>
      </c>
      <c r="I48" s="9">
        <v>300</v>
      </c>
      <c r="J48" s="9">
        <f t="shared" si="0"/>
        <v>420</v>
      </c>
      <c r="K48" s="8" t="s">
        <v>525</v>
      </c>
    </row>
    <row r="49" spans="1:11">
      <c r="A49" s="8" t="s">
        <v>574</v>
      </c>
      <c r="B49" s="8" t="s">
        <v>188</v>
      </c>
      <c r="C49" s="9">
        <v>50</v>
      </c>
      <c r="D49" s="11">
        <v>1700</v>
      </c>
      <c r="E49" s="9">
        <v>50</v>
      </c>
      <c r="F49" s="9">
        <v>200</v>
      </c>
      <c r="G49" s="9">
        <v>20</v>
      </c>
      <c r="H49" s="9">
        <f t="shared" si="1"/>
        <v>2020</v>
      </c>
      <c r="I49" s="9">
        <v>300</v>
      </c>
      <c r="J49" s="9">
        <f t="shared" si="0"/>
        <v>1720</v>
      </c>
      <c r="K49" s="8" t="s">
        <v>525</v>
      </c>
    </row>
    <row r="50" spans="1:11">
      <c r="A50" s="8" t="s">
        <v>575</v>
      </c>
      <c r="B50" s="8" t="s">
        <v>191</v>
      </c>
      <c r="C50" s="9">
        <v>50</v>
      </c>
      <c r="D50" s="12">
        <v>300</v>
      </c>
      <c r="E50" s="9">
        <v>50</v>
      </c>
      <c r="F50" s="9">
        <v>200</v>
      </c>
      <c r="G50" s="9">
        <v>20</v>
      </c>
      <c r="H50" s="9">
        <f t="shared" si="1"/>
        <v>620</v>
      </c>
      <c r="I50" s="9">
        <v>300</v>
      </c>
      <c r="J50" s="9">
        <f t="shared" si="0"/>
        <v>320</v>
      </c>
      <c r="K50" s="8" t="s">
        <v>525</v>
      </c>
    </row>
    <row r="51" spans="1:11">
      <c r="A51" s="8" t="s">
        <v>576</v>
      </c>
      <c r="B51" s="8" t="s">
        <v>194</v>
      </c>
      <c r="C51" s="9">
        <v>50</v>
      </c>
      <c r="D51" s="13">
        <v>620</v>
      </c>
      <c r="E51" s="9">
        <v>50</v>
      </c>
      <c r="F51" s="9">
        <v>200</v>
      </c>
      <c r="G51" s="9">
        <v>20</v>
      </c>
      <c r="H51" s="9">
        <f t="shared" si="1"/>
        <v>940</v>
      </c>
      <c r="I51" s="9">
        <v>300</v>
      </c>
      <c r="J51" s="9">
        <f t="shared" si="0"/>
        <v>640</v>
      </c>
      <c r="K51" s="8" t="s">
        <v>525</v>
      </c>
    </row>
  </sheetData>
  <pageMargins left="0.75" right="0.75" top="1" bottom="1" header="0.5" footer="0.5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zoomScale="70" zoomScaleNormal="70" workbookViewId="0">
      <selection activeCell="B20" sqref="B20"/>
    </sheetView>
  </sheetViews>
  <sheetFormatPr defaultColWidth="9.14285714285714" defaultRowHeight="15" outlineLevelRow="7" outlineLevelCol="6"/>
  <cols>
    <col min="1" max="1" width="34.0857142857143" customWidth="1"/>
    <col min="2" max="2" width="22.8571428571429" customWidth="1"/>
    <col min="6" max="6" width="27.752380952381" customWidth="1"/>
    <col min="7" max="8" width="20.6095238095238" customWidth="1"/>
  </cols>
  <sheetData>
    <row r="1" ht="23.25" spans="1:7">
      <c r="A1" s="1" t="s">
        <v>1</v>
      </c>
      <c r="B1" s="1" t="s">
        <v>2</v>
      </c>
      <c r="F1" s="1" t="s">
        <v>1</v>
      </c>
      <c r="G1" s="1" t="s">
        <v>2</v>
      </c>
    </row>
    <row r="2" ht="23.25" spans="1:7">
      <c r="A2" s="1" t="s">
        <v>3</v>
      </c>
      <c r="B2" s="2">
        <f>COUNTA(Patients!A2:A51)</f>
        <v>50</v>
      </c>
      <c r="F2" s="1" t="s">
        <v>7</v>
      </c>
      <c r="G2" s="2">
        <f>COUNTIF(Admissions!C2:C51,"Ward A")</f>
        <v>4</v>
      </c>
    </row>
    <row r="3" ht="23.25" spans="1:7">
      <c r="A3" s="1" t="s">
        <v>4</v>
      </c>
      <c r="B3" s="2">
        <f>COUNTA(Doctors!A2:A11)</f>
        <v>10</v>
      </c>
      <c r="F3" s="1" t="s">
        <v>8</v>
      </c>
      <c r="G3" s="2">
        <f>COUNTIF(Admissions!C2:C51,"Ward B")</f>
        <v>14</v>
      </c>
    </row>
    <row r="4" ht="23.25" spans="1:7">
      <c r="A4" s="1" t="s">
        <v>5</v>
      </c>
      <c r="B4" s="2">
        <f>COUNTA(Departments!A2:A6)</f>
        <v>5</v>
      </c>
      <c r="F4" s="1" t="s">
        <v>9</v>
      </c>
      <c r="G4" s="2">
        <f>COUNTIF(Admissions!C2:C51,"Ward C")</f>
        <v>9</v>
      </c>
    </row>
    <row r="5" ht="23.25" spans="1:7">
      <c r="A5" s="1" t="s">
        <v>6</v>
      </c>
      <c r="B5" s="3">
        <f>SUM(Billing!H2:H51)</f>
        <v>46075</v>
      </c>
      <c r="F5" s="1" t="s">
        <v>10</v>
      </c>
      <c r="G5" s="2">
        <f>COUNTIF(Admissions!C2:C51,"Ward D")</f>
        <v>11</v>
      </c>
    </row>
    <row r="6" ht="23.25" spans="1:7">
      <c r="A6" s="2" t="s">
        <v>577</v>
      </c>
      <c r="B6" s="4">
        <f>MAX(Billing!H2:H51)</f>
        <v>2310</v>
      </c>
      <c r="F6" s="1" t="s">
        <v>11</v>
      </c>
      <c r="G6" s="2">
        <f>COUNTIF(Admissions!C2:C51,"Ward E")</f>
        <v>12</v>
      </c>
    </row>
    <row r="7" ht="23.25" spans="1:7">
      <c r="A7" s="2" t="s">
        <v>578</v>
      </c>
      <c r="B7" s="4">
        <f>MIN(Billing!H2:H51)</f>
        <v>500</v>
      </c>
      <c r="F7" s="1" t="s">
        <v>579</v>
      </c>
      <c r="G7" s="5">
        <f>COUNTA(Admissions!D2:D51)</f>
        <v>50</v>
      </c>
    </row>
    <row r="8" ht="23.25" spans="1:7">
      <c r="A8" s="2" t="s">
        <v>580</v>
      </c>
      <c r="B8" s="4">
        <f>AVERAGE(Billing!H2:H51)</f>
        <v>921.5</v>
      </c>
      <c r="F8" s="5" t="s">
        <v>581</v>
      </c>
      <c r="G8" s="6">
        <f>SUM(Pharmacy!E2:E11)</f>
        <v>945</v>
      </c>
    </row>
  </sheetData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Dashboard</vt:lpstr>
      <vt:lpstr>Patients</vt:lpstr>
      <vt:lpstr>Sheet9</vt:lpstr>
      <vt:lpstr>Doctors</vt:lpstr>
      <vt:lpstr>Sheet8</vt:lpstr>
      <vt:lpstr>Departments</vt:lpstr>
      <vt:lpstr>Sheet4</vt:lpstr>
      <vt:lpstr>Appointments</vt:lpstr>
      <vt:lpstr>Sheet10</vt:lpstr>
      <vt:lpstr>Admissions</vt:lpstr>
      <vt:lpstr>Sheet7</vt:lpstr>
      <vt:lpstr>Treatments</vt:lpstr>
      <vt:lpstr>Pharmacy</vt:lpstr>
      <vt:lpstr>Prescriptions</vt:lpstr>
      <vt:lpstr>Billing</vt:lpstr>
      <vt:lpstr>Summary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2026-07-29T17:16:00Z</dcterms:created>
  <dcterms:modified xsi:type="dcterms:W3CDTF">2026-08-01T17:31:09Z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0C9FCB64E4B344268B52CAC4CE46B959_13</vt:lpwstr>
  </property>
  <property fmtid="{D5CDD505-2E9C-101B-9397-08002B2CF9AE}" pid="3" name="KSOProductBuildVer">
    <vt:lpwstr>1033-12.2.0.17562</vt:lpwstr>
  </property>
</Properties>
</file>